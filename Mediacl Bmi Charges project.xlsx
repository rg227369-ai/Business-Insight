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charts/chart19.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rg227\Downloads\Excel Project\"/>
    </mc:Choice>
  </mc:AlternateContent>
  <xr:revisionPtr revIDLastSave="0" documentId="13_ncr:1_{AAF8DA3A-E441-4D4C-962C-E8331915E930}" xr6:coauthVersionLast="47" xr6:coauthVersionMax="47" xr10:uidLastSave="{00000000-0000-0000-0000-000000000000}"/>
  <bookViews>
    <workbookView xWindow="-108" yWindow="-108" windowWidth="23256" windowHeight="12456" activeTab="1" xr2:uid="{4C957E32-8178-462E-A13D-1BE22FD51346}"/>
  </bookViews>
  <sheets>
    <sheet name="MedicalAnalysis" sheetId="11" r:id="rId1"/>
    <sheet name="Dashboard" sheetId="9" r:id="rId2"/>
    <sheet name="insurance (4)0---" sheetId="1" r:id="rId3"/>
  </sheets>
  <definedNames>
    <definedName name="Slicer_Bmi_Category">#N/A</definedName>
    <definedName name="Slicer_region">#N/A</definedName>
    <definedName name="Slicer_sex">#N/A</definedName>
    <definedName name="Slicer_smoker">#N/A</definedName>
  </definedNames>
  <calcPr calcId="191029"/>
  <pivotCaches>
    <pivotCache cacheId="5"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8" i="1" l="1"/>
  <c r="D12" i="1"/>
  <c r="D11" i="1" l="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38" i="1"/>
  <c r="D39" i="1"/>
  <c r="D40" i="1"/>
  <c r="D41" i="1"/>
  <c r="D42" i="1"/>
  <c r="D43" i="1"/>
  <c r="D44" i="1"/>
  <c r="D45" i="1"/>
  <c r="D46" i="1"/>
  <c r="D47" i="1"/>
  <c r="D48" i="1"/>
  <c r="D49" i="1"/>
  <c r="D50" i="1"/>
  <c r="D51" i="1"/>
  <c r="D52" i="1"/>
  <c r="D53" i="1"/>
  <c r="D54" i="1"/>
  <c r="D55" i="1"/>
  <c r="D56" i="1"/>
  <c r="D28" i="1"/>
  <c r="D29" i="1"/>
  <c r="D30" i="1"/>
  <c r="D31" i="1"/>
  <c r="D32" i="1"/>
  <c r="D33" i="1"/>
  <c r="D34" i="1"/>
  <c r="D35" i="1"/>
  <c r="D36" i="1"/>
  <c r="D37" i="1"/>
  <c r="D19" i="1"/>
  <c r="D20" i="1"/>
  <c r="D21" i="1"/>
  <c r="D22" i="1"/>
  <c r="D23" i="1"/>
  <c r="D24" i="1"/>
  <c r="D25" i="1"/>
  <c r="D26" i="1"/>
  <c r="D27" i="1"/>
  <c r="D4" i="1"/>
  <c r="D5" i="1"/>
  <c r="D6" i="1"/>
  <c r="D7" i="1"/>
  <c r="D8" i="1"/>
  <c r="D9" i="1"/>
  <c r="D10" i="1"/>
  <c r="D13" i="1"/>
  <c r="D14" i="1"/>
  <c r="D15" i="1"/>
  <c r="D16" i="1"/>
  <c r="D17" i="1"/>
  <c r="D18" i="1"/>
  <c r="D3" i="1"/>
  <c r="D2" i="1"/>
  <c r="M13" i="1"/>
  <c r="L13" i="1"/>
  <c r="K13" i="1"/>
  <c r="M9" i="1"/>
  <c r="L9" i="1"/>
  <c r="K9" i="1"/>
  <c r="J9" i="1"/>
  <c r="M5" i="1"/>
  <c r="J5" i="1" l="1"/>
  <c r="L5" i="1"/>
  <c r="K5" i="1"/>
</calcChain>
</file>

<file path=xl/sharedStrings.xml><?xml version="1.0" encoding="utf-8"?>
<sst xmlns="http://schemas.openxmlformats.org/spreadsheetml/2006/main" count="4074" uniqueCount="37">
  <si>
    <t>age</t>
  </si>
  <si>
    <t>sex</t>
  </si>
  <si>
    <t>bmi</t>
  </si>
  <si>
    <t>children</t>
  </si>
  <si>
    <t>smoker</t>
  </si>
  <si>
    <t>region</t>
  </si>
  <si>
    <t>charges</t>
  </si>
  <si>
    <t>female</t>
  </si>
  <si>
    <t>yes</t>
  </si>
  <si>
    <t>southwest</t>
  </si>
  <si>
    <t>male</t>
  </si>
  <si>
    <t>no</t>
  </si>
  <si>
    <t>southeast</t>
  </si>
  <si>
    <t>northwest</t>
  </si>
  <si>
    <t>northeast</t>
  </si>
  <si>
    <t>Average Amount Charges</t>
  </si>
  <si>
    <t xml:space="preserve">Median Charges </t>
  </si>
  <si>
    <t>Total Charges</t>
  </si>
  <si>
    <t>STDV</t>
  </si>
  <si>
    <t>Amount Charges of Insurance</t>
  </si>
  <si>
    <t xml:space="preserve">Age of person </t>
  </si>
  <si>
    <t>Total Age count</t>
  </si>
  <si>
    <t xml:space="preserve">Averge Age of per perosn </t>
  </si>
  <si>
    <t>Median Age of per person</t>
  </si>
  <si>
    <t>Bmi of Person</t>
  </si>
  <si>
    <t>Average Bmi of per perosn</t>
  </si>
  <si>
    <t>Median Bmi of per peroson</t>
  </si>
  <si>
    <t>Row Labels</t>
  </si>
  <si>
    <t>Grand Total</t>
  </si>
  <si>
    <t>Sum of charges</t>
  </si>
  <si>
    <t>Average of charges</t>
  </si>
  <si>
    <t>Average of bmi</t>
  </si>
  <si>
    <t>Count of smoker</t>
  </si>
  <si>
    <t>Sum of children</t>
  </si>
  <si>
    <t>Count of bmi</t>
  </si>
  <si>
    <t>Bmi Category</t>
  </si>
  <si>
    <t>Obese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</si>
</sst>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quot;₹&quot;\ #,##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0" fillId="0" borderId="0" xfId="0" pivotButton="1"/>
    <xf numFmtId="0" fontId="0" fillId="0" borderId="0" xfId="0" applyAlignment="1">
      <alignment horizontal="left"/>
    </xf>
    <xf numFmtId="164" fontId="0" fillId="0" borderId="0" xfId="0" applyNumberFormat="1"/>
    <xf numFmtId="2" fontId="0" fillId="0" borderId="0" xfId="0" applyNumberFormat="1"/>
    <xf numFmtId="1" fontId="0" fillId="0" borderId="0" xfId="0" applyNumberFormat="1"/>
    <xf numFmtId="165" fontId="0" fillId="0" borderId="0" xfId="0" applyNumberFormat="1"/>
    <xf numFmtId="0" fontId="0" fillId="33" borderId="0" xfId="0"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8">
    <dxf>
      <numFmt numFmtId="164" formatCode="&quot;₹&quot;\ #,##0.00"/>
    </dxf>
    <dxf>
      <numFmt numFmtId="1" formatCode="0"/>
    </dxf>
    <dxf>
      <numFmt numFmtId="164" formatCode="&quot;₹&quot;\ #,##0.00"/>
    </dxf>
    <dxf>
      <numFmt numFmtId="2" formatCode="0.00"/>
    </dxf>
    <dxf>
      <numFmt numFmtId="164" formatCode="&quot;₹&quot;\ #,##0.00"/>
    </dxf>
    <dxf>
      <numFmt numFmtId="0" formatCode="General"/>
    </dxf>
    <dxf>
      <numFmt numFmtId="164" formatCode="&quot;₹&quot;\ #,##0.00"/>
    </dxf>
    <dxf>
      <numFmt numFmtId="165" formatCode="&quot;₹&quot;\ #,##0.0"/>
    </dxf>
    <dxf>
      <numFmt numFmtId="0" formatCode="General"/>
    </dxf>
    <dxf>
      <numFmt numFmtId="164" formatCode="&quot;₹&quot;\ #,##0.00"/>
    </dxf>
    <dxf>
      <numFmt numFmtId="164" formatCode="&quot;₹&quot;\ #,##0.00"/>
    </dxf>
    <dxf>
      <numFmt numFmtId="0" formatCode="General"/>
    </dxf>
    <dxf>
      <numFmt numFmtId="164" formatCode="&quot;₹&quot;\ #,##0.00"/>
    </dxf>
    <dxf>
      <numFmt numFmtId="1" formatCode="0"/>
    </dxf>
    <dxf>
      <numFmt numFmtId="164" formatCode="&quot;₹&quot;\ #,##0.00"/>
    </dxf>
    <dxf>
      <numFmt numFmtId="2" formatCode="0.00"/>
    </dxf>
    <dxf>
      <numFmt numFmtId="164" formatCode="&quot;₹&quot;\ #,##0.00"/>
    </dxf>
    <dxf>
      <numFmt numFmtId="165" formatCode="&quot;₹&quot;\ #,##0.0"/>
    </dxf>
    <dxf>
      <numFmt numFmtId="0" formatCode="General"/>
    </dxf>
    <dxf>
      <numFmt numFmtId="164" formatCode="&quot;₹&quot;\ #,##0.00"/>
    </dxf>
    <dxf>
      <numFmt numFmtId="164" formatCode="&quot;₹&quot;\ #,##0.00"/>
    </dxf>
    <dxf>
      <numFmt numFmtId="0" formatCode="General"/>
    </dxf>
    <dxf>
      <numFmt numFmtId="164" formatCode="&quot;₹&quot;\ #,##0.00"/>
    </dxf>
    <dxf>
      <numFmt numFmtId="0" formatCode="General"/>
    </dxf>
    <dxf>
      <numFmt numFmtId="164" formatCode="&quot;₹&quot;\ #,##0.00"/>
    </dxf>
    <dxf>
      <numFmt numFmtId="1" formatCode="0"/>
    </dxf>
    <dxf>
      <numFmt numFmtId="164" formatCode="&quot;₹&quot;\ #,##0.00"/>
    </dxf>
    <dxf>
      <numFmt numFmtId="2" formatCode="0.00"/>
    </dxf>
    <dxf>
      <numFmt numFmtId="164" formatCode="&quot;₹&quot;\ #,##0.00"/>
    </dxf>
    <dxf>
      <numFmt numFmtId="0" formatCode="General"/>
    </dxf>
    <dxf>
      <numFmt numFmtId="164" formatCode="&quot;₹&quot;\ #,##0.00"/>
    </dxf>
    <dxf>
      <numFmt numFmtId="164" formatCode="&quot;₹&quot;\ #,##0.00"/>
    </dxf>
    <dxf>
      <numFmt numFmtId="164" formatCode="&quot;₹&quot;\ #,##0.00"/>
    </dxf>
    <dxf>
      <numFmt numFmtId="0" formatCode="General"/>
    </dxf>
    <dxf>
      <numFmt numFmtId="165" formatCode="&quot;₹&quot;\ #,##0.0"/>
    </dxf>
    <dxf>
      <numFmt numFmtId="0" formatCode="General"/>
    </dxf>
    <dxf>
      <numFmt numFmtId="0" formatCode="General"/>
    </dxf>
    <dxf>
      <numFmt numFmtId="164" formatCode="&quot;₹&quot;\ #,##0.00"/>
    </dxf>
    <dxf>
      <numFmt numFmtId="164" formatCode="&quot;₹&quot;\ #,##0.00"/>
    </dxf>
    <dxf>
      <numFmt numFmtId="0" formatCode="General"/>
    </dxf>
    <dxf>
      <numFmt numFmtId="164" formatCode="&quot;₹&quot;\ #,##0.00"/>
    </dxf>
    <dxf>
      <numFmt numFmtId="0" formatCode="General"/>
    </dxf>
    <dxf>
      <numFmt numFmtId="165" formatCode="&quot;₹&quot;\ #,##0.0"/>
    </dxf>
    <dxf>
      <numFmt numFmtId="1" formatCode="0"/>
    </dxf>
    <dxf>
      <numFmt numFmtId="164" formatCode="&quot;₹&quot;\ #,##0.00"/>
    </dxf>
    <dxf>
      <numFmt numFmtId="164" formatCode="&quot;₹&quot;\ #,##0.00"/>
    </dxf>
    <dxf>
      <numFmt numFmtId="2" formatCode="0.00"/>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ustomXml" Target="../customXml/item1.xml"/><Relationship Id="rId18" Type="http://schemas.openxmlformats.org/officeDocument/2006/relationships/customXml" Target="../customXml/item6.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17" Type="http://schemas.openxmlformats.org/officeDocument/2006/relationships/customXml" Target="../customXml/item5.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project.xlsx]MedicalAnalysis!PivotTable2</c:name>
    <c:fmtId val="0"/>
  </c:pivotSource>
  <c:chart>
    <c:title>
      <c:tx>
        <c:rich>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N" sz="1200" b="1" i="0" u="none" strike="noStrike" kern="1200" cap="all" spc="120" normalizeH="0" baseline="0">
                <a:solidFill>
                  <a:sysClr val="windowText" lastClr="000000">
                    <a:lumMod val="65000"/>
                    <a:lumOff val="35000"/>
                  </a:sysClr>
                </a:solidFill>
                <a:latin typeface="Poppins" panose="00000500000000000000" pitchFamily="2" charset="0"/>
                <a:cs typeface="Poppins" panose="00000500000000000000" pitchFamily="2" charset="0"/>
              </a:rPr>
              <a:t>GENDER Average Bmi &amp; Charges</a:t>
            </a:r>
          </a:p>
        </c:rich>
      </c:tx>
      <c:overlay val="0"/>
      <c:spPr>
        <a:noFill/>
        <a:ln>
          <a:noFill/>
        </a:ln>
        <a:effectLst/>
      </c:spPr>
      <c:txPr>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MedicalAnalysis!$B$6</c:f>
              <c:strCache>
                <c:ptCount val="1"/>
                <c:pt idx="0">
                  <c:v>Average of charges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MedicalAnalysis!$A$7:$A$9</c:f>
              <c:strCache>
                <c:ptCount val="2"/>
                <c:pt idx="0">
                  <c:v>female</c:v>
                </c:pt>
                <c:pt idx="1">
                  <c:v>male</c:v>
                </c:pt>
              </c:strCache>
            </c:strRef>
          </c:cat>
          <c:val>
            <c:numRef>
              <c:f>MedicalAnalysis!$B$7:$B$9</c:f>
              <c:numCache>
                <c:formatCode>"₹"\ #,##0.00</c:formatCode>
                <c:ptCount val="2"/>
                <c:pt idx="0">
                  <c:v>14370.66653245508</c:v>
                </c:pt>
                <c:pt idx="1">
                  <c:v>16556.078192607511</c:v>
                </c:pt>
              </c:numCache>
            </c:numRef>
          </c:val>
          <c:extLst>
            <c:ext xmlns:c16="http://schemas.microsoft.com/office/drawing/2014/chart" uri="{C3380CC4-5D6E-409C-BE32-E72D297353CC}">
              <c16:uniqueId val="{00000000-4403-4EDE-801A-57613BF83D36}"/>
            </c:ext>
          </c:extLst>
        </c:ser>
        <c:ser>
          <c:idx val="1"/>
          <c:order val="1"/>
          <c:tx>
            <c:strRef>
              <c:f>MedicalAnalysis!$C$6</c:f>
              <c:strCache>
                <c:ptCount val="1"/>
                <c:pt idx="0">
                  <c:v>Average of bmi</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MedicalAnalysis!$A$7:$A$9</c:f>
              <c:strCache>
                <c:ptCount val="2"/>
                <c:pt idx="0">
                  <c:v>female</c:v>
                </c:pt>
                <c:pt idx="1">
                  <c:v>male</c:v>
                </c:pt>
              </c:strCache>
            </c:strRef>
          </c:cat>
          <c:val>
            <c:numRef>
              <c:f>MedicalAnalysis!$C$7:$C$9</c:f>
              <c:numCache>
                <c:formatCode>General</c:formatCode>
                <c:ptCount val="2"/>
                <c:pt idx="0">
                  <c:v>35.210613772455105</c:v>
                </c:pt>
                <c:pt idx="1">
                  <c:v>35.315658602150549</c:v>
                </c:pt>
              </c:numCache>
            </c:numRef>
          </c:val>
          <c:extLst>
            <c:ext xmlns:c16="http://schemas.microsoft.com/office/drawing/2014/chart" uri="{C3380CC4-5D6E-409C-BE32-E72D297353CC}">
              <c16:uniqueId val="{00000000-9046-438C-9EE4-A50E3254B6BF}"/>
            </c:ext>
          </c:extLst>
        </c:ser>
        <c:dLbls>
          <c:dLblPos val="ctr"/>
          <c:showLegendKey val="0"/>
          <c:showVal val="1"/>
          <c:showCatName val="0"/>
          <c:showSerName val="0"/>
          <c:showPercent val="0"/>
          <c:showBubbleSize val="0"/>
        </c:dLbls>
        <c:gapWidth val="79"/>
        <c:overlap val="100"/>
        <c:axId val="220960912"/>
        <c:axId val="220963792"/>
      </c:barChart>
      <c:catAx>
        <c:axId val="2209609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20963792"/>
        <c:crosses val="autoZero"/>
        <c:auto val="1"/>
        <c:lblAlgn val="ctr"/>
        <c:lblOffset val="100"/>
        <c:noMultiLvlLbl val="0"/>
      </c:catAx>
      <c:valAx>
        <c:axId val="220963792"/>
        <c:scaling>
          <c:orientation val="minMax"/>
        </c:scaling>
        <c:delete val="1"/>
        <c:axPos val="l"/>
        <c:numFmt formatCode="0%" sourceLinked="1"/>
        <c:majorTickMark val="none"/>
        <c:minorTickMark val="none"/>
        <c:tickLblPos val="nextTo"/>
        <c:crossAx val="220960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project.xlsx]MedicalAnalysis!PivotTable3</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b="1" i="0" u="none" strike="noStrike" kern="1200" cap="all" spc="50" baseline="0">
                <a:solidFill>
                  <a:sysClr val="windowText" lastClr="000000">
                    <a:lumMod val="65000"/>
                    <a:lumOff val="35000"/>
                  </a:sysClr>
                </a:solidFill>
              </a:rPr>
              <a:t>Impact of smoking on costs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MedicalAnalysis!$B$21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980-4F91-B237-223F3EB8828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980-4F91-B237-223F3EB8828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MedicalAnalysis!$A$22:$A$24</c:f>
              <c:strCache>
                <c:ptCount val="2"/>
                <c:pt idx="0">
                  <c:v>no</c:v>
                </c:pt>
                <c:pt idx="1">
                  <c:v>yes</c:v>
                </c:pt>
              </c:strCache>
            </c:strRef>
          </c:cat>
          <c:val>
            <c:numRef>
              <c:f>MedicalAnalysis!$B$22:$B$24</c:f>
              <c:numCache>
                <c:formatCode>"₹"\ #,##0.00</c:formatCode>
                <c:ptCount val="2"/>
                <c:pt idx="0">
                  <c:v>8842.6915475266815</c:v>
                </c:pt>
                <c:pt idx="1">
                  <c:v>41590.7712484722</c:v>
                </c:pt>
              </c:numCache>
            </c:numRef>
          </c:val>
          <c:extLst>
            <c:ext xmlns:c16="http://schemas.microsoft.com/office/drawing/2014/chart" uri="{C3380CC4-5D6E-409C-BE32-E72D297353CC}">
              <c16:uniqueId val="{00000000-DB39-4761-A2CC-F2ECFD4DCB5D}"/>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project.xlsx]MedicalAnalysis!PivotTable3</c:name>
    <c:fmtId val="8"/>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b="1" i="0" u="none" strike="noStrike" kern="1200" cap="all" spc="50" baseline="0">
                <a:solidFill>
                  <a:sysClr val="windowText" lastClr="000000">
                    <a:lumMod val="65000"/>
                    <a:lumOff val="35000"/>
                  </a:sysClr>
                </a:solidFill>
              </a:rPr>
              <a:t>Impact of smoking on costs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MedicalAnalysis!$B$21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MedicalAnalysis!$A$22:$A$24</c:f>
              <c:strCache>
                <c:ptCount val="2"/>
                <c:pt idx="0">
                  <c:v>no</c:v>
                </c:pt>
                <c:pt idx="1">
                  <c:v>yes</c:v>
                </c:pt>
              </c:strCache>
            </c:strRef>
          </c:cat>
          <c:val>
            <c:numRef>
              <c:f>MedicalAnalysis!$B$22:$B$24</c:f>
              <c:numCache>
                <c:formatCode>"₹"\ #,##0.00</c:formatCode>
                <c:ptCount val="2"/>
                <c:pt idx="0">
                  <c:v>8842.6915475266815</c:v>
                </c:pt>
                <c:pt idx="1">
                  <c:v>41590.7712484722</c:v>
                </c:pt>
              </c:numCache>
            </c:numRef>
          </c:val>
          <c:extLst>
            <c:ext xmlns:c16="http://schemas.microsoft.com/office/drawing/2014/chart" uri="{C3380CC4-5D6E-409C-BE32-E72D297353CC}">
              <c16:uniqueId val="{00000000-03A2-4C24-9A64-2847E014210C}"/>
            </c:ext>
          </c:extLst>
        </c:ser>
        <c:dLbls>
          <c:dLblPos val="ctr"/>
          <c:showLegendKey val="0"/>
          <c:showVal val="1"/>
          <c:showCatName val="0"/>
          <c:showSerName val="0"/>
          <c:showPercent val="0"/>
          <c:showBubbleSize val="0"/>
        </c:dLbls>
        <c:gapWidth val="79"/>
        <c:overlap val="100"/>
        <c:axId val="1271427632"/>
        <c:axId val="402868928"/>
      </c:barChart>
      <c:catAx>
        <c:axId val="12714276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402868928"/>
        <c:crosses val="autoZero"/>
        <c:auto val="1"/>
        <c:lblAlgn val="ctr"/>
        <c:lblOffset val="100"/>
        <c:noMultiLvlLbl val="0"/>
      </c:catAx>
      <c:valAx>
        <c:axId val="402868928"/>
        <c:scaling>
          <c:orientation val="minMax"/>
        </c:scaling>
        <c:delete val="1"/>
        <c:axPos val="l"/>
        <c:numFmt formatCode="&quot;₹&quot;\ #,##0.00" sourceLinked="1"/>
        <c:majorTickMark val="none"/>
        <c:minorTickMark val="none"/>
        <c:tickLblPos val="nextTo"/>
        <c:crossAx val="1271427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project.xlsx]MedicalAnalysis!PivotTable7</c:name>
    <c:fmtId val="16"/>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sz="1400" b="1" i="0" u="none" strike="noStrike" kern="1200" baseline="0">
                <a:solidFill>
                  <a:srgbClr val="44546A"/>
                </a:solidFill>
              </a:rPr>
              <a:t>Gender Children Charges </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MedicalAnalysis!$B$37</c:f>
              <c:strCache>
                <c:ptCount val="1"/>
                <c:pt idx="0">
                  <c:v>Sum of charges</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MedicalAnalysis!$A$38:$A$40</c:f>
              <c:strCache>
                <c:ptCount val="2"/>
                <c:pt idx="0">
                  <c:v>female</c:v>
                </c:pt>
                <c:pt idx="1">
                  <c:v>male</c:v>
                </c:pt>
              </c:strCache>
            </c:strRef>
          </c:cat>
          <c:val>
            <c:numRef>
              <c:f>MedicalAnalysis!$B$38:$B$40</c:f>
              <c:numCache>
                <c:formatCode>"₹"\ #,##0.00</c:formatCode>
                <c:ptCount val="2"/>
                <c:pt idx="0">
                  <c:v>4799802.6218399964</c:v>
                </c:pt>
                <c:pt idx="1">
                  <c:v>6158861.0876499936</c:v>
                </c:pt>
              </c:numCache>
            </c:numRef>
          </c:val>
          <c:smooth val="0"/>
          <c:extLst>
            <c:ext xmlns:c16="http://schemas.microsoft.com/office/drawing/2014/chart" uri="{C3380CC4-5D6E-409C-BE32-E72D297353CC}">
              <c16:uniqueId val="{00000000-A44C-43A8-9477-9E60FE64366F}"/>
            </c:ext>
          </c:extLst>
        </c:ser>
        <c:ser>
          <c:idx val="1"/>
          <c:order val="1"/>
          <c:tx>
            <c:strRef>
              <c:f>MedicalAnalysis!$C$37</c:f>
              <c:strCache>
                <c:ptCount val="1"/>
                <c:pt idx="0">
                  <c:v>Sum of children</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MedicalAnalysis!$A$38:$A$40</c:f>
              <c:strCache>
                <c:ptCount val="2"/>
                <c:pt idx="0">
                  <c:v>female</c:v>
                </c:pt>
                <c:pt idx="1">
                  <c:v>male</c:v>
                </c:pt>
              </c:strCache>
            </c:strRef>
          </c:cat>
          <c:val>
            <c:numRef>
              <c:f>MedicalAnalysis!$C$38:$C$40</c:f>
              <c:numCache>
                <c:formatCode>General</c:formatCode>
                <c:ptCount val="2"/>
                <c:pt idx="0">
                  <c:v>373</c:v>
                </c:pt>
                <c:pt idx="1">
                  <c:v>409</c:v>
                </c:pt>
              </c:numCache>
            </c:numRef>
          </c:val>
          <c:smooth val="0"/>
          <c:extLst>
            <c:ext xmlns:c16="http://schemas.microsoft.com/office/drawing/2014/chart" uri="{C3380CC4-5D6E-409C-BE32-E72D297353CC}">
              <c16:uniqueId val="{00000001-A44C-43A8-9477-9E60FE64366F}"/>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626549232"/>
        <c:axId val="990780064"/>
      </c:lineChart>
      <c:catAx>
        <c:axId val="1626549232"/>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90780064"/>
        <c:crosses val="autoZero"/>
        <c:auto val="1"/>
        <c:lblAlgn val="ctr"/>
        <c:lblOffset val="100"/>
        <c:noMultiLvlLbl val="0"/>
      </c:catAx>
      <c:valAx>
        <c:axId val="990780064"/>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626549232"/>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project.xlsx]MedicalAnalysis!PivotTable8</c:name>
    <c:fmtId val="2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kern="1200" cap="all" spc="120" normalizeH="0" baseline="0">
                <a:solidFill>
                  <a:sysClr val="windowText" lastClr="000000">
                    <a:lumMod val="65000"/>
                    <a:lumOff val="35000"/>
                  </a:sysClr>
                </a:solidFill>
              </a:rPr>
              <a:t> </a:t>
            </a:r>
            <a:r>
              <a:rPr lang="en-US" sz="1800" b="1" i="0" u="none" strike="noStrike" kern="1200" cap="all" spc="120" normalizeH="0" baseline="0">
                <a:solidFill>
                  <a:sysClr val="windowText" lastClr="000000">
                    <a:lumMod val="75000"/>
                    <a:lumOff val="25000"/>
                  </a:sysClr>
                </a:solidFill>
              </a:rPr>
              <a:t>Region by Avg Bmi &amp; Charges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MedicalAnalysis!$B$62</c:f>
              <c:strCache>
                <c:ptCount val="1"/>
                <c:pt idx="0">
                  <c:v>Average of bmi</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89E-4B6B-9166-9B1C9C24DD1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89E-4B6B-9166-9B1C9C24DD1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89E-4B6B-9166-9B1C9C24DD1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89E-4B6B-9166-9B1C9C24DD1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MedicalAnalysis!$A$63:$A$67</c:f>
              <c:strCache>
                <c:ptCount val="4"/>
                <c:pt idx="0">
                  <c:v>northeast</c:v>
                </c:pt>
                <c:pt idx="1">
                  <c:v>northwest</c:v>
                </c:pt>
                <c:pt idx="2">
                  <c:v>southeast</c:v>
                </c:pt>
                <c:pt idx="3">
                  <c:v>southwest</c:v>
                </c:pt>
              </c:strCache>
            </c:strRef>
          </c:cat>
          <c:val>
            <c:numRef>
              <c:f>MedicalAnalysis!$B$63:$B$67</c:f>
              <c:numCache>
                <c:formatCode>0.00</c:formatCode>
                <c:ptCount val="4"/>
                <c:pt idx="0">
                  <c:v>34.581993006993002</c:v>
                </c:pt>
                <c:pt idx="1">
                  <c:v>33.72307432432433</c:v>
                </c:pt>
                <c:pt idx="2">
                  <c:v>36.903415637860085</c:v>
                </c:pt>
                <c:pt idx="3">
                  <c:v>34.848837209302317</c:v>
                </c:pt>
              </c:numCache>
            </c:numRef>
          </c:val>
          <c:extLst>
            <c:ext xmlns:c16="http://schemas.microsoft.com/office/drawing/2014/chart" uri="{C3380CC4-5D6E-409C-BE32-E72D297353CC}">
              <c16:uniqueId val="{00000000-E6FF-4048-88B3-042676039B22}"/>
            </c:ext>
          </c:extLst>
        </c:ser>
        <c:ser>
          <c:idx val="1"/>
          <c:order val="1"/>
          <c:tx>
            <c:strRef>
              <c:f>MedicalAnalysis!$C$62</c:f>
              <c:strCache>
                <c:ptCount val="1"/>
                <c:pt idx="0">
                  <c:v>Average of charges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D89E-4B6B-9166-9B1C9C24DD1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D89E-4B6B-9166-9B1C9C24DD1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D89E-4B6B-9166-9B1C9C24DD1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D89E-4B6B-9166-9B1C9C24DD1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MedicalAnalysis!$A$63:$A$67</c:f>
              <c:strCache>
                <c:ptCount val="4"/>
                <c:pt idx="0">
                  <c:v>northeast</c:v>
                </c:pt>
                <c:pt idx="1">
                  <c:v>northwest</c:v>
                </c:pt>
                <c:pt idx="2">
                  <c:v>southeast</c:v>
                </c:pt>
                <c:pt idx="3">
                  <c:v>southwest</c:v>
                </c:pt>
              </c:strCache>
            </c:strRef>
          </c:cat>
          <c:val>
            <c:numRef>
              <c:f>MedicalAnalysis!$C$63:$C$67</c:f>
              <c:numCache>
                <c:formatCode>"₹"\ #,##0.00</c:formatCode>
                <c:ptCount val="4"/>
                <c:pt idx="0">
                  <c:v>16565.816923356644</c:v>
                </c:pt>
                <c:pt idx="1">
                  <c:v>14309.98529324324</c:v>
                </c:pt>
                <c:pt idx="2">
                  <c:v>16282.346012757203</c:v>
                </c:pt>
                <c:pt idx="3">
                  <c:v>14623.627819476738</c:v>
                </c:pt>
              </c:numCache>
            </c:numRef>
          </c:val>
          <c:extLst>
            <c:ext xmlns:c16="http://schemas.microsoft.com/office/drawing/2014/chart" uri="{C3380CC4-5D6E-409C-BE32-E72D297353CC}">
              <c16:uniqueId val="{00000001-E6FF-4048-88B3-042676039B2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project.xlsx]MedicalAnalysis!PivotTable9</c:name>
    <c:fmtId val="3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Region</a:t>
            </a:r>
            <a:r>
              <a:rPr lang="en-IN" baseline="0"/>
              <a:t> By Cost Effect of Smoker</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MedicalAnalysis!$B$77</c:f>
              <c:strCache>
                <c:ptCount val="1"/>
                <c:pt idx="0">
                  <c:v>Count of smoker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MedicalAnalysis!$A$78:$A$82</c:f>
              <c:strCache>
                <c:ptCount val="4"/>
                <c:pt idx="0">
                  <c:v>northeast</c:v>
                </c:pt>
                <c:pt idx="1">
                  <c:v>northwest</c:v>
                </c:pt>
                <c:pt idx="2">
                  <c:v>southeast</c:v>
                </c:pt>
                <c:pt idx="3">
                  <c:v>southwest</c:v>
                </c:pt>
              </c:strCache>
            </c:strRef>
          </c:cat>
          <c:val>
            <c:numRef>
              <c:f>MedicalAnalysis!$B$78:$B$82</c:f>
              <c:numCache>
                <c:formatCode>0</c:formatCode>
                <c:ptCount val="4"/>
                <c:pt idx="0">
                  <c:v>143</c:v>
                </c:pt>
                <c:pt idx="1">
                  <c:v>148</c:v>
                </c:pt>
                <c:pt idx="2">
                  <c:v>243</c:v>
                </c:pt>
                <c:pt idx="3">
                  <c:v>172</c:v>
                </c:pt>
              </c:numCache>
            </c:numRef>
          </c:val>
          <c:extLst>
            <c:ext xmlns:c16="http://schemas.microsoft.com/office/drawing/2014/chart" uri="{C3380CC4-5D6E-409C-BE32-E72D297353CC}">
              <c16:uniqueId val="{00000000-E7D2-4BC5-BDD5-3389A57CC5CD}"/>
            </c:ext>
          </c:extLst>
        </c:ser>
        <c:ser>
          <c:idx val="1"/>
          <c:order val="1"/>
          <c:tx>
            <c:strRef>
              <c:f>MedicalAnalysis!$C$77</c:f>
              <c:strCache>
                <c:ptCount val="1"/>
                <c:pt idx="0">
                  <c:v>Sum of charges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MedicalAnalysis!$A$78:$A$82</c:f>
              <c:strCache>
                <c:ptCount val="4"/>
                <c:pt idx="0">
                  <c:v>northeast</c:v>
                </c:pt>
                <c:pt idx="1">
                  <c:v>northwest</c:v>
                </c:pt>
                <c:pt idx="2">
                  <c:v>southeast</c:v>
                </c:pt>
                <c:pt idx="3">
                  <c:v>southwest</c:v>
                </c:pt>
              </c:strCache>
            </c:strRef>
          </c:cat>
          <c:val>
            <c:numRef>
              <c:f>MedicalAnalysis!$C$78:$C$82</c:f>
              <c:numCache>
                <c:formatCode>"₹"\ #,##0.00</c:formatCode>
                <c:ptCount val="4"/>
                <c:pt idx="0">
                  <c:v>2368911.8200400001</c:v>
                </c:pt>
                <c:pt idx="1">
                  <c:v>2117877.8233999996</c:v>
                </c:pt>
                <c:pt idx="2">
                  <c:v>3956610.0811000005</c:v>
                </c:pt>
                <c:pt idx="3">
                  <c:v>2515263.984949999</c:v>
                </c:pt>
              </c:numCache>
            </c:numRef>
          </c:val>
          <c:extLst>
            <c:ext xmlns:c16="http://schemas.microsoft.com/office/drawing/2014/chart" uri="{C3380CC4-5D6E-409C-BE32-E72D297353CC}">
              <c16:uniqueId val="{00000001-E7D2-4BC5-BDD5-3389A57CC5CD}"/>
            </c:ext>
          </c:extLst>
        </c:ser>
        <c:dLbls>
          <c:dLblPos val="outEnd"/>
          <c:showLegendKey val="0"/>
          <c:showVal val="1"/>
          <c:showCatName val="0"/>
          <c:showSerName val="0"/>
          <c:showPercent val="0"/>
          <c:showBubbleSize val="0"/>
        </c:dLbls>
        <c:gapWidth val="100"/>
        <c:overlap val="-24"/>
        <c:axId val="384932016"/>
        <c:axId val="1821478192"/>
      </c:barChart>
      <c:catAx>
        <c:axId val="38493201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21478192"/>
        <c:crosses val="autoZero"/>
        <c:auto val="1"/>
        <c:lblAlgn val="ctr"/>
        <c:lblOffset val="100"/>
        <c:noMultiLvlLbl val="0"/>
      </c:catAx>
      <c:valAx>
        <c:axId val="1821478192"/>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84932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a:t>Corelation</a:t>
            </a:r>
            <a:r>
              <a:rPr lang="en-IN" baseline="0"/>
              <a:t> Of Bmi &amp; Charges</a:t>
            </a:r>
            <a:endParaRPr lang="en-IN"/>
          </a:p>
        </c:rich>
      </c:tx>
      <c:overlay val="0"/>
      <c:spPr>
        <a:noFill/>
        <a:ln>
          <a:noFill/>
        </a:ln>
        <a:effectLst/>
      </c:spPr>
    </c:title>
    <c:autoTitleDeleted val="0"/>
    <c:plotArea>
      <c:layout/>
      <c:scatterChart>
        <c:scatterStyle val="lineMarker"/>
        <c:varyColors val="0"/>
        <c:ser>
          <c:idx val="0"/>
          <c:order val="0"/>
          <c:tx>
            <c:strRef>
              <c:f>'insurance (4)0---'!$H$1</c:f>
              <c:strCache>
                <c:ptCount val="1"/>
                <c:pt idx="0">
                  <c:v>charges</c:v>
                </c:pt>
              </c:strCache>
            </c:strRef>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xVal>
            <c:numRef>
              <c:f>'insurance (4)0---'!$C$2:$C$1339</c:f>
              <c:numCache>
                <c:formatCode>General</c:formatCode>
                <c:ptCount val="1338"/>
                <c:pt idx="0">
                  <c:v>27.9</c:v>
                </c:pt>
                <c:pt idx="1">
                  <c:v>33.770000000000003</c:v>
                </c:pt>
                <c:pt idx="2">
                  <c:v>33</c:v>
                </c:pt>
                <c:pt idx="3">
                  <c:v>22.704999999999998</c:v>
                </c:pt>
                <c:pt idx="4">
                  <c:v>28.88</c:v>
                </c:pt>
                <c:pt idx="5">
                  <c:v>25.74</c:v>
                </c:pt>
                <c:pt idx="6">
                  <c:v>33.44</c:v>
                </c:pt>
                <c:pt idx="7">
                  <c:v>27.74</c:v>
                </c:pt>
                <c:pt idx="8">
                  <c:v>29.83</c:v>
                </c:pt>
                <c:pt idx="9">
                  <c:v>25.84</c:v>
                </c:pt>
                <c:pt idx="10">
                  <c:v>26.22</c:v>
                </c:pt>
                <c:pt idx="11">
                  <c:v>26.29</c:v>
                </c:pt>
                <c:pt idx="12">
                  <c:v>34.4</c:v>
                </c:pt>
                <c:pt idx="13">
                  <c:v>39.82</c:v>
                </c:pt>
                <c:pt idx="14">
                  <c:v>42.13</c:v>
                </c:pt>
                <c:pt idx="15">
                  <c:v>24.6</c:v>
                </c:pt>
                <c:pt idx="16">
                  <c:v>30.78</c:v>
                </c:pt>
                <c:pt idx="17">
                  <c:v>23.844999999999999</c:v>
                </c:pt>
                <c:pt idx="18">
                  <c:v>40.299999999999997</c:v>
                </c:pt>
                <c:pt idx="19">
                  <c:v>18.399999999999999</c:v>
                </c:pt>
                <c:pt idx="20">
                  <c:v>36.005000000000003</c:v>
                </c:pt>
                <c:pt idx="21">
                  <c:v>32.4</c:v>
                </c:pt>
                <c:pt idx="22">
                  <c:v>34.1</c:v>
                </c:pt>
                <c:pt idx="23">
                  <c:v>31.92</c:v>
                </c:pt>
                <c:pt idx="24">
                  <c:v>28.024999999999999</c:v>
                </c:pt>
                <c:pt idx="25">
                  <c:v>27.72</c:v>
                </c:pt>
                <c:pt idx="26">
                  <c:v>23.085000000000001</c:v>
                </c:pt>
                <c:pt idx="27">
                  <c:v>32.774999999999999</c:v>
                </c:pt>
                <c:pt idx="28">
                  <c:v>17.385000000000002</c:v>
                </c:pt>
                <c:pt idx="29">
                  <c:v>36.299999999999997</c:v>
                </c:pt>
                <c:pt idx="30">
                  <c:v>35.6</c:v>
                </c:pt>
                <c:pt idx="31">
                  <c:v>26.315000000000001</c:v>
                </c:pt>
                <c:pt idx="32">
                  <c:v>28.6</c:v>
                </c:pt>
                <c:pt idx="33">
                  <c:v>28.31</c:v>
                </c:pt>
                <c:pt idx="34">
                  <c:v>15</c:v>
                </c:pt>
                <c:pt idx="35">
                  <c:v>20.425000000000001</c:v>
                </c:pt>
                <c:pt idx="36">
                  <c:v>32.965000000000003</c:v>
                </c:pt>
                <c:pt idx="37">
                  <c:v>20.8</c:v>
                </c:pt>
                <c:pt idx="38">
                  <c:v>36.67</c:v>
                </c:pt>
                <c:pt idx="39">
                  <c:v>39.9</c:v>
                </c:pt>
                <c:pt idx="40">
                  <c:v>26.6</c:v>
                </c:pt>
                <c:pt idx="41">
                  <c:v>36.630000000000003</c:v>
                </c:pt>
                <c:pt idx="42">
                  <c:v>21.78</c:v>
                </c:pt>
                <c:pt idx="43">
                  <c:v>30.8</c:v>
                </c:pt>
                <c:pt idx="44">
                  <c:v>37.049999999999997</c:v>
                </c:pt>
                <c:pt idx="45">
                  <c:v>37.299999999999997</c:v>
                </c:pt>
                <c:pt idx="46">
                  <c:v>38.664999999999999</c:v>
                </c:pt>
                <c:pt idx="47">
                  <c:v>34.770000000000003</c:v>
                </c:pt>
                <c:pt idx="48">
                  <c:v>24.53</c:v>
                </c:pt>
                <c:pt idx="49">
                  <c:v>35.200000000000003</c:v>
                </c:pt>
                <c:pt idx="50">
                  <c:v>35.625</c:v>
                </c:pt>
                <c:pt idx="51">
                  <c:v>33.630000000000003</c:v>
                </c:pt>
                <c:pt idx="52">
                  <c:v>28</c:v>
                </c:pt>
                <c:pt idx="53">
                  <c:v>34.43</c:v>
                </c:pt>
                <c:pt idx="54">
                  <c:v>28.69</c:v>
                </c:pt>
                <c:pt idx="55">
                  <c:v>36.954999999999998</c:v>
                </c:pt>
                <c:pt idx="56">
                  <c:v>31.824999999999999</c:v>
                </c:pt>
                <c:pt idx="57">
                  <c:v>31.68</c:v>
                </c:pt>
                <c:pt idx="58">
                  <c:v>22.88</c:v>
                </c:pt>
                <c:pt idx="59">
                  <c:v>37.335000000000001</c:v>
                </c:pt>
                <c:pt idx="60">
                  <c:v>27.36</c:v>
                </c:pt>
                <c:pt idx="61">
                  <c:v>33.659999999999997</c:v>
                </c:pt>
                <c:pt idx="62">
                  <c:v>24.7</c:v>
                </c:pt>
                <c:pt idx="63">
                  <c:v>25.934999999999999</c:v>
                </c:pt>
                <c:pt idx="64">
                  <c:v>22.42</c:v>
                </c:pt>
                <c:pt idx="65">
                  <c:v>28.9</c:v>
                </c:pt>
                <c:pt idx="66">
                  <c:v>39.1</c:v>
                </c:pt>
                <c:pt idx="67">
                  <c:v>26.315000000000001</c:v>
                </c:pt>
                <c:pt idx="68">
                  <c:v>36.19</c:v>
                </c:pt>
                <c:pt idx="69">
                  <c:v>23.98</c:v>
                </c:pt>
                <c:pt idx="70">
                  <c:v>24.75</c:v>
                </c:pt>
                <c:pt idx="71">
                  <c:v>28.5</c:v>
                </c:pt>
                <c:pt idx="72">
                  <c:v>28.1</c:v>
                </c:pt>
                <c:pt idx="73">
                  <c:v>32.01</c:v>
                </c:pt>
                <c:pt idx="74">
                  <c:v>27.4</c:v>
                </c:pt>
                <c:pt idx="75">
                  <c:v>34.01</c:v>
                </c:pt>
                <c:pt idx="76">
                  <c:v>29.59</c:v>
                </c:pt>
                <c:pt idx="77">
                  <c:v>35.53</c:v>
                </c:pt>
                <c:pt idx="78">
                  <c:v>39.805</c:v>
                </c:pt>
                <c:pt idx="79">
                  <c:v>32.965000000000003</c:v>
                </c:pt>
                <c:pt idx="80">
                  <c:v>26.885000000000002</c:v>
                </c:pt>
                <c:pt idx="81">
                  <c:v>38.284999999999997</c:v>
                </c:pt>
                <c:pt idx="82">
                  <c:v>37.619999999999997</c:v>
                </c:pt>
                <c:pt idx="83">
                  <c:v>41.23</c:v>
                </c:pt>
                <c:pt idx="84">
                  <c:v>34.799999999999997</c:v>
                </c:pt>
                <c:pt idx="85">
                  <c:v>22.895</c:v>
                </c:pt>
                <c:pt idx="86">
                  <c:v>31.16</c:v>
                </c:pt>
                <c:pt idx="87">
                  <c:v>27.2</c:v>
                </c:pt>
                <c:pt idx="88">
                  <c:v>27.74</c:v>
                </c:pt>
                <c:pt idx="89">
                  <c:v>26.98</c:v>
                </c:pt>
                <c:pt idx="90">
                  <c:v>39.49</c:v>
                </c:pt>
                <c:pt idx="91">
                  <c:v>24.795000000000002</c:v>
                </c:pt>
                <c:pt idx="92">
                  <c:v>29.83</c:v>
                </c:pt>
                <c:pt idx="93">
                  <c:v>34.770000000000003</c:v>
                </c:pt>
                <c:pt idx="94">
                  <c:v>31.3</c:v>
                </c:pt>
                <c:pt idx="95">
                  <c:v>37.619999999999997</c:v>
                </c:pt>
                <c:pt idx="96">
                  <c:v>30.8</c:v>
                </c:pt>
                <c:pt idx="97">
                  <c:v>38.28</c:v>
                </c:pt>
                <c:pt idx="98">
                  <c:v>19.95</c:v>
                </c:pt>
                <c:pt idx="99">
                  <c:v>19.3</c:v>
                </c:pt>
                <c:pt idx="100">
                  <c:v>31.6</c:v>
                </c:pt>
                <c:pt idx="101">
                  <c:v>25.46</c:v>
                </c:pt>
                <c:pt idx="102">
                  <c:v>30.114999999999998</c:v>
                </c:pt>
                <c:pt idx="103">
                  <c:v>29.92</c:v>
                </c:pt>
                <c:pt idx="104">
                  <c:v>27.5</c:v>
                </c:pt>
                <c:pt idx="105">
                  <c:v>28.024999999999999</c:v>
                </c:pt>
                <c:pt idx="106">
                  <c:v>28.4</c:v>
                </c:pt>
                <c:pt idx="107">
                  <c:v>30.875</c:v>
                </c:pt>
                <c:pt idx="108">
                  <c:v>27.94</c:v>
                </c:pt>
                <c:pt idx="109">
                  <c:v>35.090000000000003</c:v>
                </c:pt>
                <c:pt idx="110">
                  <c:v>33.630000000000003</c:v>
                </c:pt>
                <c:pt idx="111">
                  <c:v>29.7</c:v>
                </c:pt>
                <c:pt idx="112">
                  <c:v>30.8</c:v>
                </c:pt>
                <c:pt idx="113">
                  <c:v>35.72</c:v>
                </c:pt>
                <c:pt idx="114">
                  <c:v>32.204999999999998</c:v>
                </c:pt>
                <c:pt idx="115">
                  <c:v>28.594999999999999</c:v>
                </c:pt>
                <c:pt idx="116">
                  <c:v>49.06</c:v>
                </c:pt>
                <c:pt idx="117">
                  <c:v>27.94</c:v>
                </c:pt>
                <c:pt idx="118">
                  <c:v>27.17</c:v>
                </c:pt>
                <c:pt idx="119">
                  <c:v>23.37</c:v>
                </c:pt>
                <c:pt idx="120">
                  <c:v>37.1</c:v>
                </c:pt>
                <c:pt idx="121">
                  <c:v>23.75</c:v>
                </c:pt>
                <c:pt idx="122">
                  <c:v>28.975000000000001</c:v>
                </c:pt>
                <c:pt idx="123">
                  <c:v>31.35</c:v>
                </c:pt>
                <c:pt idx="124">
                  <c:v>33.914999999999999</c:v>
                </c:pt>
                <c:pt idx="125">
                  <c:v>28.785</c:v>
                </c:pt>
                <c:pt idx="126">
                  <c:v>28.3</c:v>
                </c:pt>
                <c:pt idx="127">
                  <c:v>37.4</c:v>
                </c:pt>
                <c:pt idx="128">
                  <c:v>17.765000000000001</c:v>
                </c:pt>
                <c:pt idx="129">
                  <c:v>34.700000000000003</c:v>
                </c:pt>
                <c:pt idx="130">
                  <c:v>26.504999999999999</c:v>
                </c:pt>
                <c:pt idx="131">
                  <c:v>22.04</c:v>
                </c:pt>
                <c:pt idx="132">
                  <c:v>35.9</c:v>
                </c:pt>
                <c:pt idx="133">
                  <c:v>25.555</c:v>
                </c:pt>
                <c:pt idx="134">
                  <c:v>28.785</c:v>
                </c:pt>
                <c:pt idx="135">
                  <c:v>28.05</c:v>
                </c:pt>
                <c:pt idx="136">
                  <c:v>34.1</c:v>
                </c:pt>
                <c:pt idx="137">
                  <c:v>25.175000000000001</c:v>
                </c:pt>
                <c:pt idx="138">
                  <c:v>31.9</c:v>
                </c:pt>
                <c:pt idx="139">
                  <c:v>36</c:v>
                </c:pt>
                <c:pt idx="140">
                  <c:v>22.42</c:v>
                </c:pt>
                <c:pt idx="141">
                  <c:v>32.49</c:v>
                </c:pt>
                <c:pt idx="142">
                  <c:v>25.3</c:v>
                </c:pt>
                <c:pt idx="143">
                  <c:v>29.734999999999999</c:v>
                </c:pt>
                <c:pt idx="144">
                  <c:v>28.69</c:v>
                </c:pt>
                <c:pt idx="145">
                  <c:v>38.83</c:v>
                </c:pt>
                <c:pt idx="146">
                  <c:v>30.495000000000001</c:v>
                </c:pt>
                <c:pt idx="147">
                  <c:v>37.729999999999997</c:v>
                </c:pt>
                <c:pt idx="148">
                  <c:v>37.43</c:v>
                </c:pt>
                <c:pt idx="149">
                  <c:v>28.4</c:v>
                </c:pt>
                <c:pt idx="150">
                  <c:v>24.13</c:v>
                </c:pt>
                <c:pt idx="151">
                  <c:v>29.7</c:v>
                </c:pt>
                <c:pt idx="152">
                  <c:v>37.145000000000003</c:v>
                </c:pt>
                <c:pt idx="153">
                  <c:v>23.37</c:v>
                </c:pt>
                <c:pt idx="154">
                  <c:v>25.46</c:v>
                </c:pt>
                <c:pt idx="155">
                  <c:v>39.520000000000003</c:v>
                </c:pt>
                <c:pt idx="156">
                  <c:v>24.42</c:v>
                </c:pt>
                <c:pt idx="157">
                  <c:v>25.175000000000001</c:v>
                </c:pt>
                <c:pt idx="158">
                  <c:v>35.53</c:v>
                </c:pt>
                <c:pt idx="159">
                  <c:v>27.83</c:v>
                </c:pt>
                <c:pt idx="160">
                  <c:v>26.6</c:v>
                </c:pt>
                <c:pt idx="161">
                  <c:v>36.85</c:v>
                </c:pt>
                <c:pt idx="162">
                  <c:v>39.6</c:v>
                </c:pt>
                <c:pt idx="163">
                  <c:v>29.8</c:v>
                </c:pt>
                <c:pt idx="164">
                  <c:v>29.64</c:v>
                </c:pt>
                <c:pt idx="165">
                  <c:v>28.215</c:v>
                </c:pt>
                <c:pt idx="166">
                  <c:v>37</c:v>
                </c:pt>
                <c:pt idx="167">
                  <c:v>33.155000000000001</c:v>
                </c:pt>
                <c:pt idx="168">
                  <c:v>31.824999999999999</c:v>
                </c:pt>
                <c:pt idx="169">
                  <c:v>18.905000000000001</c:v>
                </c:pt>
                <c:pt idx="170">
                  <c:v>41.47</c:v>
                </c:pt>
                <c:pt idx="171">
                  <c:v>30.3</c:v>
                </c:pt>
                <c:pt idx="172">
                  <c:v>15.96</c:v>
                </c:pt>
                <c:pt idx="173">
                  <c:v>34.799999999999997</c:v>
                </c:pt>
                <c:pt idx="174">
                  <c:v>33.344999999999999</c:v>
                </c:pt>
                <c:pt idx="175">
                  <c:v>37.700000000000003</c:v>
                </c:pt>
                <c:pt idx="176">
                  <c:v>27.835000000000001</c:v>
                </c:pt>
                <c:pt idx="177">
                  <c:v>29.2</c:v>
                </c:pt>
                <c:pt idx="178">
                  <c:v>28.9</c:v>
                </c:pt>
                <c:pt idx="179">
                  <c:v>33.155000000000001</c:v>
                </c:pt>
                <c:pt idx="180">
                  <c:v>28.594999999999999</c:v>
                </c:pt>
                <c:pt idx="181">
                  <c:v>38.28</c:v>
                </c:pt>
                <c:pt idx="182">
                  <c:v>19.95</c:v>
                </c:pt>
                <c:pt idx="183">
                  <c:v>26.41</c:v>
                </c:pt>
                <c:pt idx="184">
                  <c:v>30.69</c:v>
                </c:pt>
                <c:pt idx="185">
                  <c:v>41.895000000000003</c:v>
                </c:pt>
                <c:pt idx="186">
                  <c:v>29.92</c:v>
                </c:pt>
                <c:pt idx="187">
                  <c:v>30.9</c:v>
                </c:pt>
                <c:pt idx="188">
                  <c:v>32.200000000000003</c:v>
                </c:pt>
                <c:pt idx="189">
                  <c:v>32.11</c:v>
                </c:pt>
                <c:pt idx="190">
                  <c:v>31.57</c:v>
                </c:pt>
                <c:pt idx="191">
                  <c:v>26.2</c:v>
                </c:pt>
                <c:pt idx="192">
                  <c:v>25.74</c:v>
                </c:pt>
                <c:pt idx="193">
                  <c:v>26.6</c:v>
                </c:pt>
                <c:pt idx="194">
                  <c:v>34.43</c:v>
                </c:pt>
                <c:pt idx="195">
                  <c:v>30.59</c:v>
                </c:pt>
                <c:pt idx="196">
                  <c:v>32.799999999999997</c:v>
                </c:pt>
                <c:pt idx="197">
                  <c:v>28.6</c:v>
                </c:pt>
                <c:pt idx="198">
                  <c:v>18.05</c:v>
                </c:pt>
                <c:pt idx="199">
                  <c:v>39.33</c:v>
                </c:pt>
                <c:pt idx="200">
                  <c:v>32.11</c:v>
                </c:pt>
                <c:pt idx="201">
                  <c:v>32.229999999999997</c:v>
                </c:pt>
                <c:pt idx="202">
                  <c:v>24.035</c:v>
                </c:pt>
                <c:pt idx="203">
                  <c:v>36.08</c:v>
                </c:pt>
                <c:pt idx="204">
                  <c:v>22.3</c:v>
                </c:pt>
                <c:pt idx="205">
                  <c:v>28.88</c:v>
                </c:pt>
                <c:pt idx="206">
                  <c:v>26.4</c:v>
                </c:pt>
                <c:pt idx="207">
                  <c:v>27.74</c:v>
                </c:pt>
                <c:pt idx="208">
                  <c:v>31.8</c:v>
                </c:pt>
                <c:pt idx="209">
                  <c:v>41.23</c:v>
                </c:pt>
                <c:pt idx="210">
                  <c:v>33</c:v>
                </c:pt>
                <c:pt idx="211">
                  <c:v>30.875</c:v>
                </c:pt>
                <c:pt idx="212">
                  <c:v>28.5</c:v>
                </c:pt>
                <c:pt idx="213">
                  <c:v>26.73</c:v>
                </c:pt>
                <c:pt idx="214">
                  <c:v>30.9</c:v>
                </c:pt>
                <c:pt idx="215">
                  <c:v>37.1</c:v>
                </c:pt>
                <c:pt idx="216">
                  <c:v>26.6</c:v>
                </c:pt>
                <c:pt idx="217">
                  <c:v>23.1</c:v>
                </c:pt>
                <c:pt idx="218">
                  <c:v>29.92</c:v>
                </c:pt>
                <c:pt idx="219">
                  <c:v>23.21</c:v>
                </c:pt>
                <c:pt idx="220">
                  <c:v>33.700000000000003</c:v>
                </c:pt>
                <c:pt idx="221">
                  <c:v>33.25</c:v>
                </c:pt>
                <c:pt idx="222">
                  <c:v>30.8</c:v>
                </c:pt>
                <c:pt idx="223">
                  <c:v>34.799999999999997</c:v>
                </c:pt>
                <c:pt idx="224">
                  <c:v>24.64</c:v>
                </c:pt>
                <c:pt idx="225">
                  <c:v>33.880000000000003</c:v>
                </c:pt>
                <c:pt idx="226">
                  <c:v>38.06</c:v>
                </c:pt>
                <c:pt idx="227">
                  <c:v>41.91</c:v>
                </c:pt>
                <c:pt idx="228">
                  <c:v>31.635000000000002</c:v>
                </c:pt>
                <c:pt idx="229">
                  <c:v>25.46</c:v>
                </c:pt>
                <c:pt idx="230">
                  <c:v>36.195</c:v>
                </c:pt>
                <c:pt idx="231">
                  <c:v>27.83</c:v>
                </c:pt>
                <c:pt idx="232">
                  <c:v>17.8</c:v>
                </c:pt>
                <c:pt idx="233">
                  <c:v>27.5</c:v>
                </c:pt>
                <c:pt idx="234">
                  <c:v>24.51</c:v>
                </c:pt>
                <c:pt idx="235">
                  <c:v>22.22</c:v>
                </c:pt>
                <c:pt idx="236">
                  <c:v>26.73</c:v>
                </c:pt>
                <c:pt idx="237">
                  <c:v>38.39</c:v>
                </c:pt>
                <c:pt idx="238">
                  <c:v>29.07</c:v>
                </c:pt>
                <c:pt idx="239">
                  <c:v>38.06</c:v>
                </c:pt>
                <c:pt idx="240">
                  <c:v>36.67</c:v>
                </c:pt>
                <c:pt idx="241">
                  <c:v>22.135000000000002</c:v>
                </c:pt>
                <c:pt idx="242">
                  <c:v>26.8</c:v>
                </c:pt>
                <c:pt idx="243">
                  <c:v>35.299999999999997</c:v>
                </c:pt>
                <c:pt idx="244">
                  <c:v>27.74</c:v>
                </c:pt>
                <c:pt idx="245">
                  <c:v>30.02</c:v>
                </c:pt>
                <c:pt idx="246">
                  <c:v>38.06</c:v>
                </c:pt>
                <c:pt idx="247">
                  <c:v>35.86</c:v>
                </c:pt>
                <c:pt idx="248">
                  <c:v>20.9</c:v>
                </c:pt>
                <c:pt idx="249">
                  <c:v>28.975000000000001</c:v>
                </c:pt>
                <c:pt idx="250">
                  <c:v>17.29</c:v>
                </c:pt>
                <c:pt idx="251">
                  <c:v>32.200000000000003</c:v>
                </c:pt>
                <c:pt idx="252">
                  <c:v>34.21</c:v>
                </c:pt>
                <c:pt idx="253">
                  <c:v>30.3</c:v>
                </c:pt>
                <c:pt idx="254">
                  <c:v>31.824999999999999</c:v>
                </c:pt>
                <c:pt idx="255">
                  <c:v>25.364999999999998</c:v>
                </c:pt>
                <c:pt idx="256">
                  <c:v>33.630000000000003</c:v>
                </c:pt>
                <c:pt idx="257">
                  <c:v>40.15</c:v>
                </c:pt>
                <c:pt idx="258">
                  <c:v>24.414999999999999</c:v>
                </c:pt>
                <c:pt idx="259">
                  <c:v>31.92</c:v>
                </c:pt>
                <c:pt idx="260">
                  <c:v>25.2</c:v>
                </c:pt>
                <c:pt idx="261">
                  <c:v>26.84</c:v>
                </c:pt>
                <c:pt idx="262">
                  <c:v>24.32</c:v>
                </c:pt>
                <c:pt idx="263">
                  <c:v>36.954999999999998</c:v>
                </c:pt>
                <c:pt idx="264">
                  <c:v>38.06</c:v>
                </c:pt>
                <c:pt idx="265">
                  <c:v>42.35</c:v>
                </c:pt>
                <c:pt idx="266">
                  <c:v>19.8</c:v>
                </c:pt>
                <c:pt idx="267">
                  <c:v>32.395000000000003</c:v>
                </c:pt>
                <c:pt idx="268">
                  <c:v>30.2</c:v>
                </c:pt>
                <c:pt idx="269">
                  <c:v>25.84</c:v>
                </c:pt>
                <c:pt idx="270">
                  <c:v>29.37</c:v>
                </c:pt>
                <c:pt idx="271">
                  <c:v>34.200000000000003</c:v>
                </c:pt>
                <c:pt idx="272">
                  <c:v>37.049999999999997</c:v>
                </c:pt>
                <c:pt idx="273">
                  <c:v>27.454999999999998</c:v>
                </c:pt>
                <c:pt idx="274">
                  <c:v>27.55</c:v>
                </c:pt>
                <c:pt idx="275">
                  <c:v>26.6</c:v>
                </c:pt>
                <c:pt idx="276">
                  <c:v>20.614999999999998</c:v>
                </c:pt>
                <c:pt idx="277">
                  <c:v>24.3</c:v>
                </c:pt>
                <c:pt idx="278">
                  <c:v>31.79</c:v>
                </c:pt>
                <c:pt idx="279">
                  <c:v>21.56</c:v>
                </c:pt>
                <c:pt idx="280">
                  <c:v>28.12</c:v>
                </c:pt>
                <c:pt idx="281">
                  <c:v>40.564999999999998</c:v>
                </c:pt>
                <c:pt idx="282">
                  <c:v>27.645</c:v>
                </c:pt>
                <c:pt idx="283">
                  <c:v>32.395000000000003</c:v>
                </c:pt>
                <c:pt idx="284">
                  <c:v>31.2</c:v>
                </c:pt>
                <c:pt idx="285">
                  <c:v>26.62</c:v>
                </c:pt>
                <c:pt idx="286">
                  <c:v>48.07</c:v>
                </c:pt>
                <c:pt idx="287">
                  <c:v>26.22</c:v>
                </c:pt>
                <c:pt idx="288">
                  <c:v>36.765000000000001</c:v>
                </c:pt>
                <c:pt idx="289">
                  <c:v>26.4</c:v>
                </c:pt>
                <c:pt idx="290">
                  <c:v>33.4</c:v>
                </c:pt>
                <c:pt idx="291">
                  <c:v>29.64</c:v>
                </c:pt>
                <c:pt idx="292">
                  <c:v>45.54</c:v>
                </c:pt>
                <c:pt idx="293">
                  <c:v>28.82</c:v>
                </c:pt>
                <c:pt idx="294">
                  <c:v>26.8</c:v>
                </c:pt>
                <c:pt idx="295">
                  <c:v>22.99</c:v>
                </c:pt>
                <c:pt idx="296">
                  <c:v>27.7</c:v>
                </c:pt>
                <c:pt idx="297">
                  <c:v>25.41</c:v>
                </c:pt>
                <c:pt idx="298">
                  <c:v>34.39</c:v>
                </c:pt>
                <c:pt idx="299">
                  <c:v>28.88</c:v>
                </c:pt>
                <c:pt idx="300">
                  <c:v>27.55</c:v>
                </c:pt>
                <c:pt idx="301">
                  <c:v>22.61</c:v>
                </c:pt>
                <c:pt idx="302">
                  <c:v>37.51</c:v>
                </c:pt>
                <c:pt idx="303">
                  <c:v>33</c:v>
                </c:pt>
                <c:pt idx="304">
                  <c:v>38</c:v>
                </c:pt>
                <c:pt idx="305">
                  <c:v>33.344999999999999</c:v>
                </c:pt>
                <c:pt idx="306">
                  <c:v>27.5</c:v>
                </c:pt>
                <c:pt idx="307">
                  <c:v>33.33</c:v>
                </c:pt>
                <c:pt idx="308">
                  <c:v>34.865000000000002</c:v>
                </c:pt>
                <c:pt idx="309">
                  <c:v>33.06</c:v>
                </c:pt>
                <c:pt idx="310">
                  <c:v>26.6</c:v>
                </c:pt>
                <c:pt idx="311">
                  <c:v>24.7</c:v>
                </c:pt>
                <c:pt idx="312">
                  <c:v>35.97</c:v>
                </c:pt>
                <c:pt idx="313">
                  <c:v>35.86</c:v>
                </c:pt>
                <c:pt idx="314">
                  <c:v>31.4</c:v>
                </c:pt>
                <c:pt idx="315">
                  <c:v>33.25</c:v>
                </c:pt>
                <c:pt idx="316">
                  <c:v>32.204999999999998</c:v>
                </c:pt>
                <c:pt idx="317">
                  <c:v>32.774999999999999</c:v>
                </c:pt>
                <c:pt idx="318">
                  <c:v>27.645</c:v>
                </c:pt>
                <c:pt idx="319">
                  <c:v>37.335000000000001</c:v>
                </c:pt>
                <c:pt idx="320">
                  <c:v>25.27</c:v>
                </c:pt>
                <c:pt idx="321">
                  <c:v>29.64</c:v>
                </c:pt>
                <c:pt idx="322">
                  <c:v>30.8</c:v>
                </c:pt>
                <c:pt idx="323">
                  <c:v>40.945</c:v>
                </c:pt>
                <c:pt idx="324">
                  <c:v>27.2</c:v>
                </c:pt>
                <c:pt idx="325">
                  <c:v>34.104999999999997</c:v>
                </c:pt>
                <c:pt idx="326">
                  <c:v>23.21</c:v>
                </c:pt>
                <c:pt idx="327">
                  <c:v>36.479999999999997</c:v>
                </c:pt>
                <c:pt idx="328">
                  <c:v>33.799999999999997</c:v>
                </c:pt>
                <c:pt idx="329">
                  <c:v>36.700000000000003</c:v>
                </c:pt>
                <c:pt idx="330">
                  <c:v>36.384999999999998</c:v>
                </c:pt>
                <c:pt idx="331">
                  <c:v>27.36</c:v>
                </c:pt>
                <c:pt idx="332">
                  <c:v>31.16</c:v>
                </c:pt>
                <c:pt idx="333">
                  <c:v>28.785</c:v>
                </c:pt>
                <c:pt idx="334">
                  <c:v>35.72</c:v>
                </c:pt>
                <c:pt idx="335">
                  <c:v>34.5</c:v>
                </c:pt>
                <c:pt idx="336">
                  <c:v>25.74</c:v>
                </c:pt>
                <c:pt idx="337">
                  <c:v>27.55</c:v>
                </c:pt>
                <c:pt idx="338">
                  <c:v>32.299999999999997</c:v>
                </c:pt>
                <c:pt idx="339">
                  <c:v>27.72</c:v>
                </c:pt>
                <c:pt idx="340">
                  <c:v>27.6</c:v>
                </c:pt>
                <c:pt idx="341">
                  <c:v>30.02</c:v>
                </c:pt>
                <c:pt idx="342">
                  <c:v>27.55</c:v>
                </c:pt>
                <c:pt idx="343">
                  <c:v>36.765000000000001</c:v>
                </c:pt>
                <c:pt idx="344">
                  <c:v>41.47</c:v>
                </c:pt>
                <c:pt idx="345">
                  <c:v>29.26</c:v>
                </c:pt>
                <c:pt idx="346">
                  <c:v>35.75</c:v>
                </c:pt>
                <c:pt idx="347">
                  <c:v>33.344999999999999</c:v>
                </c:pt>
                <c:pt idx="348">
                  <c:v>29.92</c:v>
                </c:pt>
                <c:pt idx="349">
                  <c:v>27.835000000000001</c:v>
                </c:pt>
                <c:pt idx="350">
                  <c:v>23.18</c:v>
                </c:pt>
                <c:pt idx="351">
                  <c:v>25.6</c:v>
                </c:pt>
                <c:pt idx="352">
                  <c:v>27.7</c:v>
                </c:pt>
                <c:pt idx="353">
                  <c:v>35.244999999999997</c:v>
                </c:pt>
                <c:pt idx="354">
                  <c:v>38.28</c:v>
                </c:pt>
                <c:pt idx="355">
                  <c:v>27.6</c:v>
                </c:pt>
                <c:pt idx="356">
                  <c:v>43.89</c:v>
                </c:pt>
                <c:pt idx="357">
                  <c:v>29.83</c:v>
                </c:pt>
                <c:pt idx="358">
                  <c:v>41.91</c:v>
                </c:pt>
                <c:pt idx="359">
                  <c:v>20.79</c:v>
                </c:pt>
                <c:pt idx="360">
                  <c:v>32.299999999999997</c:v>
                </c:pt>
                <c:pt idx="361">
                  <c:v>30.5</c:v>
                </c:pt>
                <c:pt idx="362">
                  <c:v>21.7</c:v>
                </c:pt>
                <c:pt idx="363">
                  <c:v>26.4</c:v>
                </c:pt>
                <c:pt idx="364">
                  <c:v>21.89</c:v>
                </c:pt>
                <c:pt idx="365">
                  <c:v>30.78</c:v>
                </c:pt>
                <c:pt idx="366">
                  <c:v>32.299999999999997</c:v>
                </c:pt>
                <c:pt idx="367">
                  <c:v>24.984999999999999</c:v>
                </c:pt>
                <c:pt idx="368">
                  <c:v>32.015000000000001</c:v>
                </c:pt>
                <c:pt idx="369">
                  <c:v>30.4</c:v>
                </c:pt>
                <c:pt idx="370">
                  <c:v>21.09</c:v>
                </c:pt>
                <c:pt idx="371">
                  <c:v>22.23</c:v>
                </c:pt>
                <c:pt idx="372">
                  <c:v>33.155000000000001</c:v>
                </c:pt>
                <c:pt idx="373">
                  <c:v>32.9</c:v>
                </c:pt>
                <c:pt idx="374">
                  <c:v>33.33</c:v>
                </c:pt>
                <c:pt idx="375">
                  <c:v>28.31</c:v>
                </c:pt>
                <c:pt idx="376">
                  <c:v>24.89</c:v>
                </c:pt>
                <c:pt idx="377">
                  <c:v>40.15</c:v>
                </c:pt>
                <c:pt idx="378">
                  <c:v>30.114999999999998</c:v>
                </c:pt>
                <c:pt idx="379">
                  <c:v>31.46</c:v>
                </c:pt>
                <c:pt idx="380">
                  <c:v>17.954999999999998</c:v>
                </c:pt>
                <c:pt idx="381">
                  <c:v>30.684999999999999</c:v>
                </c:pt>
                <c:pt idx="382">
                  <c:v>33</c:v>
                </c:pt>
                <c:pt idx="383">
                  <c:v>43.34</c:v>
                </c:pt>
                <c:pt idx="384">
                  <c:v>22.135000000000002</c:v>
                </c:pt>
                <c:pt idx="385">
                  <c:v>34.4</c:v>
                </c:pt>
                <c:pt idx="386">
                  <c:v>39.049999999999997</c:v>
                </c:pt>
                <c:pt idx="387">
                  <c:v>25.364999999999998</c:v>
                </c:pt>
                <c:pt idx="388">
                  <c:v>22.61</c:v>
                </c:pt>
                <c:pt idx="389">
                  <c:v>30.21</c:v>
                </c:pt>
                <c:pt idx="390">
                  <c:v>35.625</c:v>
                </c:pt>
                <c:pt idx="391">
                  <c:v>37.43</c:v>
                </c:pt>
                <c:pt idx="392">
                  <c:v>31.445</c:v>
                </c:pt>
                <c:pt idx="393">
                  <c:v>31.35</c:v>
                </c:pt>
                <c:pt idx="394">
                  <c:v>32.299999999999997</c:v>
                </c:pt>
                <c:pt idx="395">
                  <c:v>19.855</c:v>
                </c:pt>
                <c:pt idx="396">
                  <c:v>34.4</c:v>
                </c:pt>
                <c:pt idx="397">
                  <c:v>31.02</c:v>
                </c:pt>
                <c:pt idx="398">
                  <c:v>25.6</c:v>
                </c:pt>
                <c:pt idx="399">
                  <c:v>38.17</c:v>
                </c:pt>
                <c:pt idx="400">
                  <c:v>20.6</c:v>
                </c:pt>
                <c:pt idx="401">
                  <c:v>47.52</c:v>
                </c:pt>
                <c:pt idx="402">
                  <c:v>32.965000000000003</c:v>
                </c:pt>
                <c:pt idx="403">
                  <c:v>32.299999999999997</c:v>
                </c:pt>
                <c:pt idx="404">
                  <c:v>20.399999999999999</c:v>
                </c:pt>
                <c:pt idx="405">
                  <c:v>38.380000000000003</c:v>
                </c:pt>
                <c:pt idx="406">
                  <c:v>24.31</c:v>
                </c:pt>
                <c:pt idx="407">
                  <c:v>23.6</c:v>
                </c:pt>
                <c:pt idx="408">
                  <c:v>21.12</c:v>
                </c:pt>
                <c:pt idx="409">
                  <c:v>30.03</c:v>
                </c:pt>
                <c:pt idx="410">
                  <c:v>17.48</c:v>
                </c:pt>
                <c:pt idx="411">
                  <c:v>20.234999999999999</c:v>
                </c:pt>
                <c:pt idx="412">
                  <c:v>17.195</c:v>
                </c:pt>
                <c:pt idx="413">
                  <c:v>23.9</c:v>
                </c:pt>
                <c:pt idx="414">
                  <c:v>35.15</c:v>
                </c:pt>
                <c:pt idx="415">
                  <c:v>35.64</c:v>
                </c:pt>
                <c:pt idx="416">
                  <c:v>34.1</c:v>
                </c:pt>
                <c:pt idx="417">
                  <c:v>22.6</c:v>
                </c:pt>
                <c:pt idx="418">
                  <c:v>39.159999999999997</c:v>
                </c:pt>
                <c:pt idx="419">
                  <c:v>26.98</c:v>
                </c:pt>
                <c:pt idx="420">
                  <c:v>33.880000000000003</c:v>
                </c:pt>
                <c:pt idx="421">
                  <c:v>35.86</c:v>
                </c:pt>
                <c:pt idx="422">
                  <c:v>32.774999999999999</c:v>
                </c:pt>
                <c:pt idx="423">
                  <c:v>30.59</c:v>
                </c:pt>
                <c:pt idx="424">
                  <c:v>30.2</c:v>
                </c:pt>
                <c:pt idx="425">
                  <c:v>24.31</c:v>
                </c:pt>
                <c:pt idx="426">
                  <c:v>27.265000000000001</c:v>
                </c:pt>
                <c:pt idx="427">
                  <c:v>29.164999999999999</c:v>
                </c:pt>
                <c:pt idx="428">
                  <c:v>16.815000000000001</c:v>
                </c:pt>
                <c:pt idx="429">
                  <c:v>30.4</c:v>
                </c:pt>
                <c:pt idx="430">
                  <c:v>33.1</c:v>
                </c:pt>
                <c:pt idx="431">
                  <c:v>20.234999999999999</c:v>
                </c:pt>
                <c:pt idx="432">
                  <c:v>26.9</c:v>
                </c:pt>
                <c:pt idx="433">
                  <c:v>30.5</c:v>
                </c:pt>
                <c:pt idx="434">
                  <c:v>28.594999999999999</c:v>
                </c:pt>
                <c:pt idx="435">
                  <c:v>33.11</c:v>
                </c:pt>
                <c:pt idx="436">
                  <c:v>31.73</c:v>
                </c:pt>
                <c:pt idx="437">
                  <c:v>28.9</c:v>
                </c:pt>
                <c:pt idx="438">
                  <c:v>46.75</c:v>
                </c:pt>
                <c:pt idx="439">
                  <c:v>29.45</c:v>
                </c:pt>
                <c:pt idx="440">
                  <c:v>32.68</c:v>
                </c:pt>
                <c:pt idx="441">
                  <c:v>33.5</c:v>
                </c:pt>
                <c:pt idx="442">
                  <c:v>43.01</c:v>
                </c:pt>
                <c:pt idx="443">
                  <c:v>36.520000000000003</c:v>
                </c:pt>
                <c:pt idx="444">
                  <c:v>26.695</c:v>
                </c:pt>
                <c:pt idx="445">
                  <c:v>33.1</c:v>
                </c:pt>
                <c:pt idx="446">
                  <c:v>29.64</c:v>
                </c:pt>
                <c:pt idx="447">
                  <c:v>25.65</c:v>
                </c:pt>
                <c:pt idx="448">
                  <c:v>29.6</c:v>
                </c:pt>
                <c:pt idx="449">
                  <c:v>38.6</c:v>
                </c:pt>
                <c:pt idx="450">
                  <c:v>29.6</c:v>
                </c:pt>
                <c:pt idx="451">
                  <c:v>24.13</c:v>
                </c:pt>
                <c:pt idx="452">
                  <c:v>23.4</c:v>
                </c:pt>
                <c:pt idx="453">
                  <c:v>29.734999999999999</c:v>
                </c:pt>
                <c:pt idx="454">
                  <c:v>46.53</c:v>
                </c:pt>
                <c:pt idx="455">
                  <c:v>37.4</c:v>
                </c:pt>
                <c:pt idx="456">
                  <c:v>30.14</c:v>
                </c:pt>
                <c:pt idx="457">
                  <c:v>30.495000000000001</c:v>
                </c:pt>
                <c:pt idx="458">
                  <c:v>39.6</c:v>
                </c:pt>
                <c:pt idx="459">
                  <c:v>33</c:v>
                </c:pt>
                <c:pt idx="460">
                  <c:v>36.630000000000003</c:v>
                </c:pt>
                <c:pt idx="461">
                  <c:v>30</c:v>
                </c:pt>
                <c:pt idx="462">
                  <c:v>38.094999999999999</c:v>
                </c:pt>
                <c:pt idx="463">
                  <c:v>25.934999999999999</c:v>
                </c:pt>
                <c:pt idx="464">
                  <c:v>25.175000000000001</c:v>
                </c:pt>
                <c:pt idx="465">
                  <c:v>28.38</c:v>
                </c:pt>
                <c:pt idx="466">
                  <c:v>28.7</c:v>
                </c:pt>
                <c:pt idx="467">
                  <c:v>33.82</c:v>
                </c:pt>
                <c:pt idx="468">
                  <c:v>24.32</c:v>
                </c:pt>
                <c:pt idx="469">
                  <c:v>24.09</c:v>
                </c:pt>
                <c:pt idx="470">
                  <c:v>32.67</c:v>
                </c:pt>
                <c:pt idx="471">
                  <c:v>30.114999999999998</c:v>
                </c:pt>
                <c:pt idx="472">
                  <c:v>29.8</c:v>
                </c:pt>
                <c:pt idx="473">
                  <c:v>33.344999999999999</c:v>
                </c:pt>
                <c:pt idx="474">
                  <c:v>25.1</c:v>
                </c:pt>
                <c:pt idx="475">
                  <c:v>28.31</c:v>
                </c:pt>
                <c:pt idx="476">
                  <c:v>28.5</c:v>
                </c:pt>
                <c:pt idx="477">
                  <c:v>35.625</c:v>
                </c:pt>
                <c:pt idx="478">
                  <c:v>36.85</c:v>
                </c:pt>
                <c:pt idx="479">
                  <c:v>32.56</c:v>
                </c:pt>
                <c:pt idx="480">
                  <c:v>41.325000000000003</c:v>
                </c:pt>
                <c:pt idx="481">
                  <c:v>37.51</c:v>
                </c:pt>
                <c:pt idx="482">
                  <c:v>31.35</c:v>
                </c:pt>
                <c:pt idx="483">
                  <c:v>39.5</c:v>
                </c:pt>
                <c:pt idx="484">
                  <c:v>34.299999999999997</c:v>
                </c:pt>
                <c:pt idx="485">
                  <c:v>31.065000000000001</c:v>
                </c:pt>
                <c:pt idx="486">
                  <c:v>21.47</c:v>
                </c:pt>
                <c:pt idx="487">
                  <c:v>28.7</c:v>
                </c:pt>
                <c:pt idx="488">
                  <c:v>38.06</c:v>
                </c:pt>
                <c:pt idx="489">
                  <c:v>31.16</c:v>
                </c:pt>
                <c:pt idx="490">
                  <c:v>32.9</c:v>
                </c:pt>
                <c:pt idx="491">
                  <c:v>25.08</c:v>
                </c:pt>
                <c:pt idx="492">
                  <c:v>25.08</c:v>
                </c:pt>
                <c:pt idx="493">
                  <c:v>43.4</c:v>
                </c:pt>
                <c:pt idx="494">
                  <c:v>25.7</c:v>
                </c:pt>
                <c:pt idx="495">
                  <c:v>27.93</c:v>
                </c:pt>
                <c:pt idx="496">
                  <c:v>23.6</c:v>
                </c:pt>
                <c:pt idx="497">
                  <c:v>28.7</c:v>
                </c:pt>
                <c:pt idx="498">
                  <c:v>23.98</c:v>
                </c:pt>
                <c:pt idx="499">
                  <c:v>39.200000000000003</c:v>
                </c:pt>
                <c:pt idx="500">
                  <c:v>34.4</c:v>
                </c:pt>
                <c:pt idx="501">
                  <c:v>26.03</c:v>
                </c:pt>
                <c:pt idx="502">
                  <c:v>23.21</c:v>
                </c:pt>
                <c:pt idx="503">
                  <c:v>30.25</c:v>
                </c:pt>
                <c:pt idx="504">
                  <c:v>28.93</c:v>
                </c:pt>
                <c:pt idx="505">
                  <c:v>30.875</c:v>
                </c:pt>
                <c:pt idx="506">
                  <c:v>31.35</c:v>
                </c:pt>
                <c:pt idx="507">
                  <c:v>23.75</c:v>
                </c:pt>
                <c:pt idx="508">
                  <c:v>25.27</c:v>
                </c:pt>
                <c:pt idx="509">
                  <c:v>28.7</c:v>
                </c:pt>
                <c:pt idx="510">
                  <c:v>32.11</c:v>
                </c:pt>
                <c:pt idx="511">
                  <c:v>33.659999999999997</c:v>
                </c:pt>
                <c:pt idx="512">
                  <c:v>22.42</c:v>
                </c:pt>
                <c:pt idx="513">
                  <c:v>30.4</c:v>
                </c:pt>
                <c:pt idx="514">
                  <c:v>28.3</c:v>
                </c:pt>
                <c:pt idx="515">
                  <c:v>35.700000000000003</c:v>
                </c:pt>
                <c:pt idx="516">
                  <c:v>35.31</c:v>
                </c:pt>
                <c:pt idx="517">
                  <c:v>30.495000000000001</c:v>
                </c:pt>
                <c:pt idx="518">
                  <c:v>31</c:v>
                </c:pt>
                <c:pt idx="519">
                  <c:v>30.875</c:v>
                </c:pt>
                <c:pt idx="520">
                  <c:v>27.36</c:v>
                </c:pt>
                <c:pt idx="521">
                  <c:v>44.22</c:v>
                </c:pt>
                <c:pt idx="522">
                  <c:v>33.914999999999999</c:v>
                </c:pt>
                <c:pt idx="523">
                  <c:v>37.729999999999997</c:v>
                </c:pt>
                <c:pt idx="524">
                  <c:v>26.07</c:v>
                </c:pt>
                <c:pt idx="525">
                  <c:v>33.880000000000003</c:v>
                </c:pt>
                <c:pt idx="526">
                  <c:v>30.59</c:v>
                </c:pt>
                <c:pt idx="527">
                  <c:v>25.8</c:v>
                </c:pt>
                <c:pt idx="528">
                  <c:v>39.424999999999997</c:v>
                </c:pt>
                <c:pt idx="529">
                  <c:v>25.46</c:v>
                </c:pt>
                <c:pt idx="530">
                  <c:v>42.13</c:v>
                </c:pt>
                <c:pt idx="531">
                  <c:v>31.73</c:v>
                </c:pt>
                <c:pt idx="532">
                  <c:v>29.7</c:v>
                </c:pt>
                <c:pt idx="533">
                  <c:v>36.19</c:v>
                </c:pt>
                <c:pt idx="534">
                  <c:v>40.479999999999997</c:v>
                </c:pt>
                <c:pt idx="535">
                  <c:v>28.024999999999999</c:v>
                </c:pt>
                <c:pt idx="536">
                  <c:v>38.9</c:v>
                </c:pt>
                <c:pt idx="537">
                  <c:v>30.2</c:v>
                </c:pt>
                <c:pt idx="538">
                  <c:v>28.05</c:v>
                </c:pt>
                <c:pt idx="539">
                  <c:v>31.35</c:v>
                </c:pt>
                <c:pt idx="540">
                  <c:v>38</c:v>
                </c:pt>
                <c:pt idx="541">
                  <c:v>31.79</c:v>
                </c:pt>
                <c:pt idx="542">
                  <c:v>36.299999999999997</c:v>
                </c:pt>
                <c:pt idx="543">
                  <c:v>47.41</c:v>
                </c:pt>
                <c:pt idx="544">
                  <c:v>30.21</c:v>
                </c:pt>
                <c:pt idx="545">
                  <c:v>25.84</c:v>
                </c:pt>
                <c:pt idx="546">
                  <c:v>35.435000000000002</c:v>
                </c:pt>
                <c:pt idx="547">
                  <c:v>46.7</c:v>
                </c:pt>
                <c:pt idx="548">
                  <c:v>28.594999999999999</c:v>
                </c:pt>
                <c:pt idx="549">
                  <c:v>46.2</c:v>
                </c:pt>
                <c:pt idx="550">
                  <c:v>30.8</c:v>
                </c:pt>
                <c:pt idx="551">
                  <c:v>28.93</c:v>
                </c:pt>
                <c:pt idx="552">
                  <c:v>21.4</c:v>
                </c:pt>
                <c:pt idx="553">
                  <c:v>31.73</c:v>
                </c:pt>
                <c:pt idx="554">
                  <c:v>41.325000000000003</c:v>
                </c:pt>
                <c:pt idx="555">
                  <c:v>23.8</c:v>
                </c:pt>
                <c:pt idx="556">
                  <c:v>33.44</c:v>
                </c:pt>
                <c:pt idx="557">
                  <c:v>34.21</c:v>
                </c:pt>
                <c:pt idx="558">
                  <c:v>34.104999999999997</c:v>
                </c:pt>
                <c:pt idx="559">
                  <c:v>35.53</c:v>
                </c:pt>
                <c:pt idx="560">
                  <c:v>19.95</c:v>
                </c:pt>
                <c:pt idx="561">
                  <c:v>32.68</c:v>
                </c:pt>
                <c:pt idx="562">
                  <c:v>30.5</c:v>
                </c:pt>
                <c:pt idx="563">
                  <c:v>44.77</c:v>
                </c:pt>
                <c:pt idx="564">
                  <c:v>32.119999999999997</c:v>
                </c:pt>
                <c:pt idx="565">
                  <c:v>30.495000000000001</c:v>
                </c:pt>
                <c:pt idx="566">
                  <c:v>40.564999999999998</c:v>
                </c:pt>
                <c:pt idx="567">
                  <c:v>30.59</c:v>
                </c:pt>
                <c:pt idx="568">
                  <c:v>31.9</c:v>
                </c:pt>
                <c:pt idx="569">
                  <c:v>40.564999999999998</c:v>
                </c:pt>
                <c:pt idx="570">
                  <c:v>29.1</c:v>
                </c:pt>
                <c:pt idx="571">
                  <c:v>37.29</c:v>
                </c:pt>
                <c:pt idx="572">
                  <c:v>43.12</c:v>
                </c:pt>
                <c:pt idx="573">
                  <c:v>36.86</c:v>
                </c:pt>
                <c:pt idx="574">
                  <c:v>34.295000000000002</c:v>
                </c:pt>
                <c:pt idx="575">
                  <c:v>27.17</c:v>
                </c:pt>
                <c:pt idx="576">
                  <c:v>26.84</c:v>
                </c:pt>
                <c:pt idx="577">
                  <c:v>38.094999999999999</c:v>
                </c:pt>
                <c:pt idx="578">
                  <c:v>30.2</c:v>
                </c:pt>
                <c:pt idx="579">
                  <c:v>23.465</c:v>
                </c:pt>
                <c:pt idx="580">
                  <c:v>25.46</c:v>
                </c:pt>
                <c:pt idx="581">
                  <c:v>30.59</c:v>
                </c:pt>
                <c:pt idx="582">
                  <c:v>45.43</c:v>
                </c:pt>
                <c:pt idx="583">
                  <c:v>23.65</c:v>
                </c:pt>
                <c:pt idx="584">
                  <c:v>20.7</c:v>
                </c:pt>
                <c:pt idx="585">
                  <c:v>28.27</c:v>
                </c:pt>
                <c:pt idx="586">
                  <c:v>20.234999999999999</c:v>
                </c:pt>
                <c:pt idx="587">
                  <c:v>30.21</c:v>
                </c:pt>
                <c:pt idx="588">
                  <c:v>35.909999999999997</c:v>
                </c:pt>
                <c:pt idx="589">
                  <c:v>30.69</c:v>
                </c:pt>
                <c:pt idx="590">
                  <c:v>29</c:v>
                </c:pt>
                <c:pt idx="591">
                  <c:v>19.57</c:v>
                </c:pt>
                <c:pt idx="592">
                  <c:v>31.13</c:v>
                </c:pt>
                <c:pt idx="593">
                  <c:v>21.85</c:v>
                </c:pt>
                <c:pt idx="594">
                  <c:v>40.26</c:v>
                </c:pt>
                <c:pt idx="595">
                  <c:v>33.725000000000001</c:v>
                </c:pt>
                <c:pt idx="596">
                  <c:v>29.48</c:v>
                </c:pt>
                <c:pt idx="597">
                  <c:v>33.25</c:v>
                </c:pt>
                <c:pt idx="598">
                  <c:v>32.6</c:v>
                </c:pt>
                <c:pt idx="599">
                  <c:v>37.524999999999999</c:v>
                </c:pt>
                <c:pt idx="600">
                  <c:v>39.159999999999997</c:v>
                </c:pt>
                <c:pt idx="601">
                  <c:v>31.635000000000002</c:v>
                </c:pt>
                <c:pt idx="602">
                  <c:v>25.3</c:v>
                </c:pt>
                <c:pt idx="603">
                  <c:v>39.049999999999997</c:v>
                </c:pt>
                <c:pt idx="604">
                  <c:v>28.31</c:v>
                </c:pt>
                <c:pt idx="605">
                  <c:v>34.1</c:v>
                </c:pt>
                <c:pt idx="606">
                  <c:v>25.175000000000001</c:v>
                </c:pt>
                <c:pt idx="607">
                  <c:v>23.655000000000001</c:v>
                </c:pt>
                <c:pt idx="608">
                  <c:v>26.98</c:v>
                </c:pt>
                <c:pt idx="609">
                  <c:v>37.799999999999997</c:v>
                </c:pt>
                <c:pt idx="610">
                  <c:v>29.37</c:v>
                </c:pt>
                <c:pt idx="611">
                  <c:v>34.799999999999997</c:v>
                </c:pt>
                <c:pt idx="612">
                  <c:v>33.155000000000001</c:v>
                </c:pt>
                <c:pt idx="613">
                  <c:v>19</c:v>
                </c:pt>
                <c:pt idx="614">
                  <c:v>33</c:v>
                </c:pt>
                <c:pt idx="615">
                  <c:v>36.630000000000003</c:v>
                </c:pt>
                <c:pt idx="616">
                  <c:v>28.594999999999999</c:v>
                </c:pt>
                <c:pt idx="617">
                  <c:v>25.6</c:v>
                </c:pt>
                <c:pt idx="618">
                  <c:v>33.11</c:v>
                </c:pt>
                <c:pt idx="619">
                  <c:v>37.1</c:v>
                </c:pt>
                <c:pt idx="620">
                  <c:v>31.4</c:v>
                </c:pt>
                <c:pt idx="621">
                  <c:v>34.1</c:v>
                </c:pt>
                <c:pt idx="622">
                  <c:v>21.3</c:v>
                </c:pt>
                <c:pt idx="623">
                  <c:v>33.534999999999997</c:v>
                </c:pt>
                <c:pt idx="624">
                  <c:v>28.785</c:v>
                </c:pt>
                <c:pt idx="625">
                  <c:v>26.03</c:v>
                </c:pt>
                <c:pt idx="626">
                  <c:v>28.88</c:v>
                </c:pt>
                <c:pt idx="627">
                  <c:v>42.46</c:v>
                </c:pt>
                <c:pt idx="628">
                  <c:v>38</c:v>
                </c:pt>
                <c:pt idx="629">
                  <c:v>38.950000000000003</c:v>
                </c:pt>
                <c:pt idx="630">
                  <c:v>36.1</c:v>
                </c:pt>
                <c:pt idx="631">
                  <c:v>29.3</c:v>
                </c:pt>
                <c:pt idx="632">
                  <c:v>35.53</c:v>
                </c:pt>
                <c:pt idx="633">
                  <c:v>22.704999999999998</c:v>
                </c:pt>
                <c:pt idx="634">
                  <c:v>39.700000000000003</c:v>
                </c:pt>
                <c:pt idx="635">
                  <c:v>38.19</c:v>
                </c:pt>
                <c:pt idx="636">
                  <c:v>24.51</c:v>
                </c:pt>
                <c:pt idx="637">
                  <c:v>38.094999999999999</c:v>
                </c:pt>
                <c:pt idx="638">
                  <c:v>26.41</c:v>
                </c:pt>
                <c:pt idx="639">
                  <c:v>33.659999999999997</c:v>
                </c:pt>
                <c:pt idx="640">
                  <c:v>42.4</c:v>
                </c:pt>
                <c:pt idx="641">
                  <c:v>28.31</c:v>
                </c:pt>
                <c:pt idx="642">
                  <c:v>33.914999999999999</c:v>
                </c:pt>
                <c:pt idx="643">
                  <c:v>34.96</c:v>
                </c:pt>
                <c:pt idx="644">
                  <c:v>35.31</c:v>
                </c:pt>
                <c:pt idx="645">
                  <c:v>30.78</c:v>
                </c:pt>
                <c:pt idx="646">
                  <c:v>26.22</c:v>
                </c:pt>
                <c:pt idx="647">
                  <c:v>23.37</c:v>
                </c:pt>
                <c:pt idx="648">
                  <c:v>28.5</c:v>
                </c:pt>
                <c:pt idx="649">
                  <c:v>32.965000000000003</c:v>
                </c:pt>
                <c:pt idx="650">
                  <c:v>42.68</c:v>
                </c:pt>
                <c:pt idx="651">
                  <c:v>39.6</c:v>
                </c:pt>
                <c:pt idx="652">
                  <c:v>31.13</c:v>
                </c:pt>
                <c:pt idx="653">
                  <c:v>36.299999999999997</c:v>
                </c:pt>
                <c:pt idx="654">
                  <c:v>35.200000000000003</c:v>
                </c:pt>
                <c:pt idx="655">
                  <c:v>25.3</c:v>
                </c:pt>
                <c:pt idx="656">
                  <c:v>42.4</c:v>
                </c:pt>
                <c:pt idx="657">
                  <c:v>33.155000000000001</c:v>
                </c:pt>
                <c:pt idx="658">
                  <c:v>35.909999999999997</c:v>
                </c:pt>
                <c:pt idx="659">
                  <c:v>28.785</c:v>
                </c:pt>
                <c:pt idx="660">
                  <c:v>46.53</c:v>
                </c:pt>
                <c:pt idx="661">
                  <c:v>23.98</c:v>
                </c:pt>
                <c:pt idx="662">
                  <c:v>31.54</c:v>
                </c:pt>
                <c:pt idx="663">
                  <c:v>33.659999999999997</c:v>
                </c:pt>
                <c:pt idx="664">
                  <c:v>22.99</c:v>
                </c:pt>
                <c:pt idx="665">
                  <c:v>38.06</c:v>
                </c:pt>
                <c:pt idx="666">
                  <c:v>28.7</c:v>
                </c:pt>
                <c:pt idx="667">
                  <c:v>32.774999999999999</c:v>
                </c:pt>
                <c:pt idx="668">
                  <c:v>32.015000000000001</c:v>
                </c:pt>
                <c:pt idx="669">
                  <c:v>29.81</c:v>
                </c:pt>
                <c:pt idx="670">
                  <c:v>31.57</c:v>
                </c:pt>
                <c:pt idx="671">
                  <c:v>31.16</c:v>
                </c:pt>
                <c:pt idx="672">
                  <c:v>29.7</c:v>
                </c:pt>
                <c:pt idx="673">
                  <c:v>31.02</c:v>
                </c:pt>
                <c:pt idx="674">
                  <c:v>43.89</c:v>
                </c:pt>
                <c:pt idx="675">
                  <c:v>21.375</c:v>
                </c:pt>
                <c:pt idx="676">
                  <c:v>40.81</c:v>
                </c:pt>
                <c:pt idx="677">
                  <c:v>31.35</c:v>
                </c:pt>
                <c:pt idx="678">
                  <c:v>36.1</c:v>
                </c:pt>
                <c:pt idx="679">
                  <c:v>23.18</c:v>
                </c:pt>
                <c:pt idx="680">
                  <c:v>17.399999999999999</c:v>
                </c:pt>
                <c:pt idx="681">
                  <c:v>20.3</c:v>
                </c:pt>
                <c:pt idx="682">
                  <c:v>35.299999999999997</c:v>
                </c:pt>
                <c:pt idx="683">
                  <c:v>24.32</c:v>
                </c:pt>
                <c:pt idx="684">
                  <c:v>18.5</c:v>
                </c:pt>
                <c:pt idx="685">
                  <c:v>26.41</c:v>
                </c:pt>
                <c:pt idx="686">
                  <c:v>26.125</c:v>
                </c:pt>
                <c:pt idx="687">
                  <c:v>41.69</c:v>
                </c:pt>
                <c:pt idx="688">
                  <c:v>24.1</c:v>
                </c:pt>
                <c:pt idx="689">
                  <c:v>31.13</c:v>
                </c:pt>
                <c:pt idx="690">
                  <c:v>27.36</c:v>
                </c:pt>
                <c:pt idx="691">
                  <c:v>36.200000000000003</c:v>
                </c:pt>
                <c:pt idx="692">
                  <c:v>32.395000000000003</c:v>
                </c:pt>
                <c:pt idx="693">
                  <c:v>23.655000000000001</c:v>
                </c:pt>
                <c:pt idx="694">
                  <c:v>34.799999999999997</c:v>
                </c:pt>
                <c:pt idx="695">
                  <c:v>40.185000000000002</c:v>
                </c:pt>
                <c:pt idx="696">
                  <c:v>32.299999999999997</c:v>
                </c:pt>
                <c:pt idx="697">
                  <c:v>35.75</c:v>
                </c:pt>
                <c:pt idx="698">
                  <c:v>33.725000000000001</c:v>
                </c:pt>
                <c:pt idx="699">
                  <c:v>39.270000000000003</c:v>
                </c:pt>
                <c:pt idx="700">
                  <c:v>34.869999999999997</c:v>
                </c:pt>
                <c:pt idx="701">
                  <c:v>44.744999999999997</c:v>
                </c:pt>
                <c:pt idx="702">
                  <c:v>41.47</c:v>
                </c:pt>
                <c:pt idx="703">
                  <c:v>26.41</c:v>
                </c:pt>
                <c:pt idx="704">
                  <c:v>29.545000000000002</c:v>
                </c:pt>
                <c:pt idx="705">
                  <c:v>32.9</c:v>
                </c:pt>
                <c:pt idx="706">
                  <c:v>38.06</c:v>
                </c:pt>
                <c:pt idx="707">
                  <c:v>28.69</c:v>
                </c:pt>
                <c:pt idx="708">
                  <c:v>30.495000000000001</c:v>
                </c:pt>
                <c:pt idx="709">
                  <c:v>27.74</c:v>
                </c:pt>
                <c:pt idx="710">
                  <c:v>35.200000000000003</c:v>
                </c:pt>
                <c:pt idx="711">
                  <c:v>23.54</c:v>
                </c:pt>
                <c:pt idx="712">
                  <c:v>30.684999999999999</c:v>
                </c:pt>
                <c:pt idx="713">
                  <c:v>40.47</c:v>
                </c:pt>
                <c:pt idx="714">
                  <c:v>22.6</c:v>
                </c:pt>
                <c:pt idx="715">
                  <c:v>28.9</c:v>
                </c:pt>
                <c:pt idx="716">
                  <c:v>22.61</c:v>
                </c:pt>
                <c:pt idx="717">
                  <c:v>24.32</c:v>
                </c:pt>
                <c:pt idx="718">
                  <c:v>36.67</c:v>
                </c:pt>
                <c:pt idx="719">
                  <c:v>33.44</c:v>
                </c:pt>
                <c:pt idx="720">
                  <c:v>40.659999999999997</c:v>
                </c:pt>
                <c:pt idx="721">
                  <c:v>36.6</c:v>
                </c:pt>
                <c:pt idx="722">
                  <c:v>37.4</c:v>
                </c:pt>
                <c:pt idx="723">
                  <c:v>35.4</c:v>
                </c:pt>
                <c:pt idx="724">
                  <c:v>27.074999999999999</c:v>
                </c:pt>
                <c:pt idx="725">
                  <c:v>39.049999999999997</c:v>
                </c:pt>
                <c:pt idx="726">
                  <c:v>28.405000000000001</c:v>
                </c:pt>
                <c:pt idx="727">
                  <c:v>21.754999999999999</c:v>
                </c:pt>
                <c:pt idx="728">
                  <c:v>40.28</c:v>
                </c:pt>
                <c:pt idx="729">
                  <c:v>36.08</c:v>
                </c:pt>
                <c:pt idx="730">
                  <c:v>24.42</c:v>
                </c:pt>
                <c:pt idx="731">
                  <c:v>21.4</c:v>
                </c:pt>
                <c:pt idx="732">
                  <c:v>30.1</c:v>
                </c:pt>
                <c:pt idx="733">
                  <c:v>27.265000000000001</c:v>
                </c:pt>
                <c:pt idx="734">
                  <c:v>32.1</c:v>
                </c:pt>
                <c:pt idx="735">
                  <c:v>34.770000000000003</c:v>
                </c:pt>
                <c:pt idx="736">
                  <c:v>38.39</c:v>
                </c:pt>
                <c:pt idx="737">
                  <c:v>23.7</c:v>
                </c:pt>
                <c:pt idx="738">
                  <c:v>31.73</c:v>
                </c:pt>
                <c:pt idx="739">
                  <c:v>35.5</c:v>
                </c:pt>
                <c:pt idx="740">
                  <c:v>24.035</c:v>
                </c:pt>
                <c:pt idx="741">
                  <c:v>29.15</c:v>
                </c:pt>
                <c:pt idx="742">
                  <c:v>34.104999999999997</c:v>
                </c:pt>
                <c:pt idx="743">
                  <c:v>26.62</c:v>
                </c:pt>
                <c:pt idx="744">
                  <c:v>26.41</c:v>
                </c:pt>
                <c:pt idx="745">
                  <c:v>30.114999999999998</c:v>
                </c:pt>
                <c:pt idx="746">
                  <c:v>27</c:v>
                </c:pt>
                <c:pt idx="747">
                  <c:v>21.754999999999999</c:v>
                </c:pt>
                <c:pt idx="748">
                  <c:v>36</c:v>
                </c:pt>
                <c:pt idx="749">
                  <c:v>30.875</c:v>
                </c:pt>
                <c:pt idx="750">
                  <c:v>26.4</c:v>
                </c:pt>
                <c:pt idx="751">
                  <c:v>28.975000000000001</c:v>
                </c:pt>
                <c:pt idx="752">
                  <c:v>37.905000000000001</c:v>
                </c:pt>
                <c:pt idx="753">
                  <c:v>22.77</c:v>
                </c:pt>
                <c:pt idx="754">
                  <c:v>33.630000000000003</c:v>
                </c:pt>
                <c:pt idx="755">
                  <c:v>27.645</c:v>
                </c:pt>
                <c:pt idx="756">
                  <c:v>22.8</c:v>
                </c:pt>
                <c:pt idx="757">
                  <c:v>27.83</c:v>
                </c:pt>
                <c:pt idx="758">
                  <c:v>37.43</c:v>
                </c:pt>
                <c:pt idx="759">
                  <c:v>38.17</c:v>
                </c:pt>
                <c:pt idx="760">
                  <c:v>34.58</c:v>
                </c:pt>
                <c:pt idx="761">
                  <c:v>35.200000000000003</c:v>
                </c:pt>
                <c:pt idx="762">
                  <c:v>27.1</c:v>
                </c:pt>
                <c:pt idx="763">
                  <c:v>26.03</c:v>
                </c:pt>
                <c:pt idx="764">
                  <c:v>25.175000000000001</c:v>
                </c:pt>
                <c:pt idx="765">
                  <c:v>31.824999999999999</c:v>
                </c:pt>
                <c:pt idx="766">
                  <c:v>32.299999999999997</c:v>
                </c:pt>
                <c:pt idx="767">
                  <c:v>29</c:v>
                </c:pt>
                <c:pt idx="768">
                  <c:v>39.700000000000003</c:v>
                </c:pt>
                <c:pt idx="769">
                  <c:v>19.475000000000001</c:v>
                </c:pt>
                <c:pt idx="770">
                  <c:v>36.1</c:v>
                </c:pt>
                <c:pt idx="771">
                  <c:v>26.7</c:v>
                </c:pt>
                <c:pt idx="772">
                  <c:v>36.479999999999997</c:v>
                </c:pt>
                <c:pt idx="773">
                  <c:v>28.88</c:v>
                </c:pt>
                <c:pt idx="774">
                  <c:v>34.200000000000003</c:v>
                </c:pt>
                <c:pt idx="775">
                  <c:v>33.33</c:v>
                </c:pt>
                <c:pt idx="776">
                  <c:v>32.299999999999997</c:v>
                </c:pt>
                <c:pt idx="777">
                  <c:v>39.805</c:v>
                </c:pt>
                <c:pt idx="778">
                  <c:v>34.32</c:v>
                </c:pt>
                <c:pt idx="779">
                  <c:v>28.88</c:v>
                </c:pt>
                <c:pt idx="780">
                  <c:v>24.4</c:v>
                </c:pt>
                <c:pt idx="781">
                  <c:v>41.14</c:v>
                </c:pt>
                <c:pt idx="782">
                  <c:v>35.97</c:v>
                </c:pt>
                <c:pt idx="783">
                  <c:v>27.6</c:v>
                </c:pt>
                <c:pt idx="784">
                  <c:v>29.26</c:v>
                </c:pt>
                <c:pt idx="785">
                  <c:v>27.7</c:v>
                </c:pt>
                <c:pt idx="786">
                  <c:v>36.954999999999998</c:v>
                </c:pt>
                <c:pt idx="787">
                  <c:v>36.86</c:v>
                </c:pt>
                <c:pt idx="788">
                  <c:v>22.515000000000001</c:v>
                </c:pt>
                <c:pt idx="789">
                  <c:v>29.92</c:v>
                </c:pt>
                <c:pt idx="790">
                  <c:v>41.8</c:v>
                </c:pt>
                <c:pt idx="791">
                  <c:v>27.6</c:v>
                </c:pt>
                <c:pt idx="792">
                  <c:v>23.18</c:v>
                </c:pt>
                <c:pt idx="793">
                  <c:v>20.9</c:v>
                </c:pt>
                <c:pt idx="794">
                  <c:v>31.92</c:v>
                </c:pt>
                <c:pt idx="795">
                  <c:v>28.5</c:v>
                </c:pt>
                <c:pt idx="796">
                  <c:v>44.22</c:v>
                </c:pt>
                <c:pt idx="797">
                  <c:v>22.895</c:v>
                </c:pt>
                <c:pt idx="798">
                  <c:v>33.1</c:v>
                </c:pt>
                <c:pt idx="799">
                  <c:v>24.795000000000002</c:v>
                </c:pt>
                <c:pt idx="800">
                  <c:v>26.18</c:v>
                </c:pt>
                <c:pt idx="801">
                  <c:v>35.97</c:v>
                </c:pt>
                <c:pt idx="802">
                  <c:v>22.3</c:v>
                </c:pt>
                <c:pt idx="803">
                  <c:v>42.24</c:v>
                </c:pt>
                <c:pt idx="804">
                  <c:v>26.51</c:v>
                </c:pt>
                <c:pt idx="805">
                  <c:v>35.814999999999998</c:v>
                </c:pt>
                <c:pt idx="806">
                  <c:v>41.42</c:v>
                </c:pt>
                <c:pt idx="807">
                  <c:v>36.575000000000003</c:v>
                </c:pt>
                <c:pt idx="808">
                  <c:v>30.14</c:v>
                </c:pt>
                <c:pt idx="809">
                  <c:v>25.84</c:v>
                </c:pt>
                <c:pt idx="810">
                  <c:v>30.8</c:v>
                </c:pt>
                <c:pt idx="811">
                  <c:v>42.94</c:v>
                </c:pt>
                <c:pt idx="812">
                  <c:v>21.01</c:v>
                </c:pt>
                <c:pt idx="813">
                  <c:v>22.515000000000001</c:v>
                </c:pt>
                <c:pt idx="814">
                  <c:v>34.43</c:v>
                </c:pt>
                <c:pt idx="815">
                  <c:v>31.46</c:v>
                </c:pt>
                <c:pt idx="816">
                  <c:v>24.225000000000001</c:v>
                </c:pt>
                <c:pt idx="817">
                  <c:v>37.1</c:v>
                </c:pt>
                <c:pt idx="818">
                  <c:v>26.125</c:v>
                </c:pt>
                <c:pt idx="819">
                  <c:v>35.53</c:v>
                </c:pt>
                <c:pt idx="820">
                  <c:v>33.700000000000003</c:v>
                </c:pt>
                <c:pt idx="821">
                  <c:v>17.670000000000002</c:v>
                </c:pt>
                <c:pt idx="822">
                  <c:v>31.13</c:v>
                </c:pt>
                <c:pt idx="823">
                  <c:v>29.81</c:v>
                </c:pt>
                <c:pt idx="824">
                  <c:v>24.32</c:v>
                </c:pt>
                <c:pt idx="825">
                  <c:v>31.824999999999999</c:v>
                </c:pt>
                <c:pt idx="826">
                  <c:v>31.79</c:v>
                </c:pt>
                <c:pt idx="827">
                  <c:v>28.024999999999999</c:v>
                </c:pt>
                <c:pt idx="828">
                  <c:v>30.78</c:v>
                </c:pt>
                <c:pt idx="829">
                  <c:v>21.85</c:v>
                </c:pt>
                <c:pt idx="830">
                  <c:v>33.1</c:v>
                </c:pt>
                <c:pt idx="831">
                  <c:v>25.84</c:v>
                </c:pt>
                <c:pt idx="832">
                  <c:v>23.844999999999999</c:v>
                </c:pt>
                <c:pt idx="833">
                  <c:v>34.39</c:v>
                </c:pt>
                <c:pt idx="834">
                  <c:v>33.82</c:v>
                </c:pt>
                <c:pt idx="835">
                  <c:v>35.97</c:v>
                </c:pt>
                <c:pt idx="836">
                  <c:v>31.5</c:v>
                </c:pt>
                <c:pt idx="837">
                  <c:v>28.31</c:v>
                </c:pt>
                <c:pt idx="838">
                  <c:v>23.465</c:v>
                </c:pt>
                <c:pt idx="839">
                  <c:v>31.35</c:v>
                </c:pt>
                <c:pt idx="840">
                  <c:v>31.1</c:v>
                </c:pt>
                <c:pt idx="841">
                  <c:v>24.7</c:v>
                </c:pt>
                <c:pt idx="842">
                  <c:v>32.78</c:v>
                </c:pt>
                <c:pt idx="843">
                  <c:v>29.81</c:v>
                </c:pt>
                <c:pt idx="844">
                  <c:v>30.495000000000001</c:v>
                </c:pt>
                <c:pt idx="845">
                  <c:v>32.450000000000003</c:v>
                </c:pt>
                <c:pt idx="846">
                  <c:v>34.200000000000003</c:v>
                </c:pt>
                <c:pt idx="847">
                  <c:v>50.38</c:v>
                </c:pt>
                <c:pt idx="848">
                  <c:v>24.1</c:v>
                </c:pt>
                <c:pt idx="849">
                  <c:v>32.774999999999999</c:v>
                </c:pt>
                <c:pt idx="850">
                  <c:v>30.78</c:v>
                </c:pt>
                <c:pt idx="851">
                  <c:v>32.299999999999997</c:v>
                </c:pt>
                <c:pt idx="852">
                  <c:v>35.53</c:v>
                </c:pt>
                <c:pt idx="853">
                  <c:v>23.75</c:v>
                </c:pt>
                <c:pt idx="854">
                  <c:v>23.844999999999999</c:v>
                </c:pt>
                <c:pt idx="855">
                  <c:v>29.6</c:v>
                </c:pt>
                <c:pt idx="856">
                  <c:v>33.11</c:v>
                </c:pt>
                <c:pt idx="857">
                  <c:v>24.13</c:v>
                </c:pt>
                <c:pt idx="858">
                  <c:v>32.229999999999997</c:v>
                </c:pt>
                <c:pt idx="859">
                  <c:v>28.1</c:v>
                </c:pt>
                <c:pt idx="860">
                  <c:v>47.6</c:v>
                </c:pt>
                <c:pt idx="861">
                  <c:v>28</c:v>
                </c:pt>
                <c:pt idx="862">
                  <c:v>33.534999999999997</c:v>
                </c:pt>
                <c:pt idx="863">
                  <c:v>19.855</c:v>
                </c:pt>
                <c:pt idx="864">
                  <c:v>25.4</c:v>
                </c:pt>
                <c:pt idx="865">
                  <c:v>29.9</c:v>
                </c:pt>
                <c:pt idx="866">
                  <c:v>37.29</c:v>
                </c:pt>
                <c:pt idx="867">
                  <c:v>43.7</c:v>
                </c:pt>
                <c:pt idx="868">
                  <c:v>23.655000000000001</c:v>
                </c:pt>
                <c:pt idx="869">
                  <c:v>24.3</c:v>
                </c:pt>
                <c:pt idx="870">
                  <c:v>36.200000000000003</c:v>
                </c:pt>
                <c:pt idx="871">
                  <c:v>29.48</c:v>
                </c:pt>
                <c:pt idx="872">
                  <c:v>24.86</c:v>
                </c:pt>
                <c:pt idx="873">
                  <c:v>30.1</c:v>
                </c:pt>
                <c:pt idx="874">
                  <c:v>21.85</c:v>
                </c:pt>
                <c:pt idx="875">
                  <c:v>28.12</c:v>
                </c:pt>
                <c:pt idx="876">
                  <c:v>27.1</c:v>
                </c:pt>
                <c:pt idx="877">
                  <c:v>33.44</c:v>
                </c:pt>
                <c:pt idx="878">
                  <c:v>28.8</c:v>
                </c:pt>
                <c:pt idx="879">
                  <c:v>29.5</c:v>
                </c:pt>
                <c:pt idx="880">
                  <c:v>34.799999999999997</c:v>
                </c:pt>
                <c:pt idx="881">
                  <c:v>27.36</c:v>
                </c:pt>
                <c:pt idx="882">
                  <c:v>22.135000000000002</c:v>
                </c:pt>
                <c:pt idx="883">
                  <c:v>37.049999999999997</c:v>
                </c:pt>
                <c:pt idx="884">
                  <c:v>26.695</c:v>
                </c:pt>
                <c:pt idx="885">
                  <c:v>28.93</c:v>
                </c:pt>
                <c:pt idx="886">
                  <c:v>28.975000000000001</c:v>
                </c:pt>
                <c:pt idx="887">
                  <c:v>30.02</c:v>
                </c:pt>
                <c:pt idx="888">
                  <c:v>39.5</c:v>
                </c:pt>
                <c:pt idx="889">
                  <c:v>33.630000000000003</c:v>
                </c:pt>
                <c:pt idx="890">
                  <c:v>26.885000000000002</c:v>
                </c:pt>
                <c:pt idx="891">
                  <c:v>29.04</c:v>
                </c:pt>
                <c:pt idx="892">
                  <c:v>24.035</c:v>
                </c:pt>
                <c:pt idx="893">
                  <c:v>38.94</c:v>
                </c:pt>
                <c:pt idx="894">
                  <c:v>32.11</c:v>
                </c:pt>
                <c:pt idx="895">
                  <c:v>44</c:v>
                </c:pt>
                <c:pt idx="896">
                  <c:v>20.045000000000002</c:v>
                </c:pt>
                <c:pt idx="897">
                  <c:v>25.555</c:v>
                </c:pt>
                <c:pt idx="898">
                  <c:v>40.26</c:v>
                </c:pt>
                <c:pt idx="899">
                  <c:v>22.515000000000001</c:v>
                </c:pt>
                <c:pt idx="900">
                  <c:v>22.515000000000001</c:v>
                </c:pt>
                <c:pt idx="901">
                  <c:v>40.92</c:v>
                </c:pt>
                <c:pt idx="902">
                  <c:v>27.265000000000001</c:v>
                </c:pt>
                <c:pt idx="903">
                  <c:v>36.85</c:v>
                </c:pt>
                <c:pt idx="904">
                  <c:v>35.1</c:v>
                </c:pt>
                <c:pt idx="905">
                  <c:v>29.355</c:v>
                </c:pt>
                <c:pt idx="906">
                  <c:v>32.585000000000001</c:v>
                </c:pt>
                <c:pt idx="907">
                  <c:v>32.340000000000003</c:v>
                </c:pt>
                <c:pt idx="908">
                  <c:v>39.799999999999997</c:v>
                </c:pt>
                <c:pt idx="909">
                  <c:v>24.6</c:v>
                </c:pt>
                <c:pt idx="910">
                  <c:v>28.31</c:v>
                </c:pt>
                <c:pt idx="911">
                  <c:v>31.73</c:v>
                </c:pt>
                <c:pt idx="912">
                  <c:v>26.695</c:v>
                </c:pt>
                <c:pt idx="913">
                  <c:v>27.5</c:v>
                </c:pt>
                <c:pt idx="914">
                  <c:v>24.605</c:v>
                </c:pt>
                <c:pt idx="915">
                  <c:v>33.99</c:v>
                </c:pt>
                <c:pt idx="916">
                  <c:v>26.885000000000002</c:v>
                </c:pt>
                <c:pt idx="917">
                  <c:v>22.895</c:v>
                </c:pt>
                <c:pt idx="918">
                  <c:v>28.2</c:v>
                </c:pt>
                <c:pt idx="919">
                  <c:v>34.21</c:v>
                </c:pt>
                <c:pt idx="920">
                  <c:v>25</c:v>
                </c:pt>
                <c:pt idx="921">
                  <c:v>33.200000000000003</c:v>
                </c:pt>
                <c:pt idx="922">
                  <c:v>31</c:v>
                </c:pt>
                <c:pt idx="923">
                  <c:v>35.814999999999998</c:v>
                </c:pt>
                <c:pt idx="924">
                  <c:v>23.2</c:v>
                </c:pt>
                <c:pt idx="925">
                  <c:v>32.11</c:v>
                </c:pt>
                <c:pt idx="926">
                  <c:v>23.4</c:v>
                </c:pt>
                <c:pt idx="927">
                  <c:v>20.100000000000001</c:v>
                </c:pt>
                <c:pt idx="928">
                  <c:v>39.159999999999997</c:v>
                </c:pt>
                <c:pt idx="929">
                  <c:v>34.21</c:v>
                </c:pt>
                <c:pt idx="930">
                  <c:v>46.53</c:v>
                </c:pt>
                <c:pt idx="931">
                  <c:v>32.5</c:v>
                </c:pt>
                <c:pt idx="932">
                  <c:v>25.8</c:v>
                </c:pt>
                <c:pt idx="933">
                  <c:v>35.299999999999997</c:v>
                </c:pt>
                <c:pt idx="934">
                  <c:v>37.18</c:v>
                </c:pt>
                <c:pt idx="935">
                  <c:v>27.5</c:v>
                </c:pt>
                <c:pt idx="936">
                  <c:v>29.734999999999999</c:v>
                </c:pt>
                <c:pt idx="937">
                  <c:v>24.225000000000001</c:v>
                </c:pt>
                <c:pt idx="938">
                  <c:v>26.18</c:v>
                </c:pt>
                <c:pt idx="939">
                  <c:v>29.48</c:v>
                </c:pt>
                <c:pt idx="940">
                  <c:v>23.21</c:v>
                </c:pt>
                <c:pt idx="941">
                  <c:v>46.09</c:v>
                </c:pt>
                <c:pt idx="942">
                  <c:v>40.185000000000002</c:v>
                </c:pt>
                <c:pt idx="943">
                  <c:v>22.61</c:v>
                </c:pt>
                <c:pt idx="944">
                  <c:v>39.93</c:v>
                </c:pt>
                <c:pt idx="945">
                  <c:v>35.799999999999997</c:v>
                </c:pt>
                <c:pt idx="946">
                  <c:v>35.799999999999997</c:v>
                </c:pt>
                <c:pt idx="947">
                  <c:v>34.200000000000003</c:v>
                </c:pt>
                <c:pt idx="948">
                  <c:v>31.254999999999999</c:v>
                </c:pt>
                <c:pt idx="949">
                  <c:v>29.7</c:v>
                </c:pt>
                <c:pt idx="950">
                  <c:v>18.335000000000001</c:v>
                </c:pt>
                <c:pt idx="951">
                  <c:v>42.9</c:v>
                </c:pt>
                <c:pt idx="952">
                  <c:v>28.405000000000001</c:v>
                </c:pt>
                <c:pt idx="953">
                  <c:v>30.2</c:v>
                </c:pt>
                <c:pt idx="954">
                  <c:v>27.835000000000001</c:v>
                </c:pt>
                <c:pt idx="955">
                  <c:v>39.49</c:v>
                </c:pt>
                <c:pt idx="956">
                  <c:v>30.8</c:v>
                </c:pt>
                <c:pt idx="957">
                  <c:v>26.79</c:v>
                </c:pt>
                <c:pt idx="958">
                  <c:v>34.96</c:v>
                </c:pt>
                <c:pt idx="959">
                  <c:v>36.67</c:v>
                </c:pt>
                <c:pt idx="960">
                  <c:v>39.615000000000002</c:v>
                </c:pt>
                <c:pt idx="961">
                  <c:v>25.9</c:v>
                </c:pt>
                <c:pt idx="962">
                  <c:v>35.200000000000003</c:v>
                </c:pt>
                <c:pt idx="963">
                  <c:v>24.795000000000002</c:v>
                </c:pt>
                <c:pt idx="964">
                  <c:v>36.765000000000001</c:v>
                </c:pt>
                <c:pt idx="965">
                  <c:v>27.1</c:v>
                </c:pt>
                <c:pt idx="966">
                  <c:v>24.795000000000002</c:v>
                </c:pt>
                <c:pt idx="967">
                  <c:v>25.364999999999998</c:v>
                </c:pt>
                <c:pt idx="968">
                  <c:v>25.745000000000001</c:v>
                </c:pt>
                <c:pt idx="969">
                  <c:v>34.32</c:v>
                </c:pt>
                <c:pt idx="970">
                  <c:v>28.16</c:v>
                </c:pt>
                <c:pt idx="971">
                  <c:v>23.56</c:v>
                </c:pt>
                <c:pt idx="972">
                  <c:v>20.234999999999999</c:v>
                </c:pt>
                <c:pt idx="973">
                  <c:v>40.5</c:v>
                </c:pt>
                <c:pt idx="974">
                  <c:v>35.42</c:v>
                </c:pt>
                <c:pt idx="975">
                  <c:v>22.895</c:v>
                </c:pt>
                <c:pt idx="976">
                  <c:v>40.15</c:v>
                </c:pt>
                <c:pt idx="977">
                  <c:v>29.15</c:v>
                </c:pt>
                <c:pt idx="978">
                  <c:v>39.994999999999997</c:v>
                </c:pt>
                <c:pt idx="979">
                  <c:v>29.92</c:v>
                </c:pt>
                <c:pt idx="980">
                  <c:v>25.46</c:v>
                </c:pt>
                <c:pt idx="981">
                  <c:v>21.375</c:v>
                </c:pt>
                <c:pt idx="982">
                  <c:v>25.9</c:v>
                </c:pt>
                <c:pt idx="983">
                  <c:v>30.59</c:v>
                </c:pt>
                <c:pt idx="984">
                  <c:v>30.114999999999998</c:v>
                </c:pt>
                <c:pt idx="985">
                  <c:v>25.8</c:v>
                </c:pt>
                <c:pt idx="986">
                  <c:v>30.114999999999998</c:v>
                </c:pt>
                <c:pt idx="987">
                  <c:v>27.645</c:v>
                </c:pt>
                <c:pt idx="988">
                  <c:v>34.674999999999997</c:v>
                </c:pt>
                <c:pt idx="989">
                  <c:v>20.52</c:v>
                </c:pt>
                <c:pt idx="990">
                  <c:v>19.8</c:v>
                </c:pt>
                <c:pt idx="991">
                  <c:v>27.835000000000001</c:v>
                </c:pt>
                <c:pt idx="992">
                  <c:v>31.6</c:v>
                </c:pt>
                <c:pt idx="993">
                  <c:v>28.27</c:v>
                </c:pt>
                <c:pt idx="994">
                  <c:v>20.045000000000002</c:v>
                </c:pt>
                <c:pt idx="995">
                  <c:v>23.274999999999999</c:v>
                </c:pt>
                <c:pt idx="996">
                  <c:v>34.1</c:v>
                </c:pt>
                <c:pt idx="997">
                  <c:v>36.85</c:v>
                </c:pt>
                <c:pt idx="998">
                  <c:v>36.29</c:v>
                </c:pt>
                <c:pt idx="999">
                  <c:v>26.885000000000002</c:v>
                </c:pt>
                <c:pt idx="1000">
                  <c:v>22.99</c:v>
                </c:pt>
                <c:pt idx="1001">
                  <c:v>32.700000000000003</c:v>
                </c:pt>
                <c:pt idx="1002">
                  <c:v>25.8</c:v>
                </c:pt>
                <c:pt idx="1003">
                  <c:v>29.6</c:v>
                </c:pt>
                <c:pt idx="1004">
                  <c:v>19.190000000000001</c:v>
                </c:pt>
                <c:pt idx="1005">
                  <c:v>31.73</c:v>
                </c:pt>
                <c:pt idx="1006">
                  <c:v>29.26</c:v>
                </c:pt>
                <c:pt idx="1007">
                  <c:v>28.215</c:v>
                </c:pt>
                <c:pt idx="1008">
                  <c:v>24.984999999999999</c:v>
                </c:pt>
                <c:pt idx="1009">
                  <c:v>27.74</c:v>
                </c:pt>
                <c:pt idx="1010">
                  <c:v>22.8</c:v>
                </c:pt>
                <c:pt idx="1011">
                  <c:v>20.13</c:v>
                </c:pt>
                <c:pt idx="1012">
                  <c:v>33.33</c:v>
                </c:pt>
                <c:pt idx="1013">
                  <c:v>32.299999999999997</c:v>
                </c:pt>
                <c:pt idx="1014">
                  <c:v>27.6</c:v>
                </c:pt>
                <c:pt idx="1015">
                  <c:v>25.46</c:v>
                </c:pt>
                <c:pt idx="1016">
                  <c:v>24.605</c:v>
                </c:pt>
                <c:pt idx="1017">
                  <c:v>34.200000000000003</c:v>
                </c:pt>
                <c:pt idx="1018">
                  <c:v>35.814999999999998</c:v>
                </c:pt>
                <c:pt idx="1019">
                  <c:v>32.68</c:v>
                </c:pt>
                <c:pt idx="1020">
                  <c:v>37</c:v>
                </c:pt>
                <c:pt idx="1021">
                  <c:v>31.02</c:v>
                </c:pt>
                <c:pt idx="1022">
                  <c:v>36.08</c:v>
                </c:pt>
                <c:pt idx="1023">
                  <c:v>23.32</c:v>
                </c:pt>
                <c:pt idx="1024">
                  <c:v>45.32</c:v>
                </c:pt>
                <c:pt idx="1025">
                  <c:v>34.6</c:v>
                </c:pt>
                <c:pt idx="1026">
                  <c:v>26.03</c:v>
                </c:pt>
                <c:pt idx="1027">
                  <c:v>18.715</c:v>
                </c:pt>
                <c:pt idx="1028">
                  <c:v>31.6</c:v>
                </c:pt>
                <c:pt idx="1029">
                  <c:v>17.29</c:v>
                </c:pt>
                <c:pt idx="1030">
                  <c:v>23.655000000000001</c:v>
                </c:pt>
                <c:pt idx="1031">
                  <c:v>35.200000000000003</c:v>
                </c:pt>
                <c:pt idx="1032">
                  <c:v>27.93</c:v>
                </c:pt>
                <c:pt idx="1033">
                  <c:v>21.565000000000001</c:v>
                </c:pt>
                <c:pt idx="1034">
                  <c:v>38.380000000000003</c:v>
                </c:pt>
                <c:pt idx="1035">
                  <c:v>23</c:v>
                </c:pt>
                <c:pt idx="1036">
                  <c:v>37.07</c:v>
                </c:pt>
                <c:pt idx="1037">
                  <c:v>30.495000000000001</c:v>
                </c:pt>
                <c:pt idx="1038">
                  <c:v>28.88</c:v>
                </c:pt>
                <c:pt idx="1039">
                  <c:v>27.265000000000001</c:v>
                </c:pt>
                <c:pt idx="1040">
                  <c:v>28.024999999999999</c:v>
                </c:pt>
                <c:pt idx="1041">
                  <c:v>23.085000000000001</c:v>
                </c:pt>
                <c:pt idx="1042">
                  <c:v>30.684999999999999</c:v>
                </c:pt>
                <c:pt idx="1043">
                  <c:v>25.8</c:v>
                </c:pt>
                <c:pt idx="1044">
                  <c:v>35.244999999999997</c:v>
                </c:pt>
                <c:pt idx="1045">
                  <c:v>24.7</c:v>
                </c:pt>
                <c:pt idx="1046">
                  <c:v>25.08</c:v>
                </c:pt>
                <c:pt idx="1047">
                  <c:v>52.58</c:v>
                </c:pt>
                <c:pt idx="1048">
                  <c:v>22.515000000000001</c:v>
                </c:pt>
                <c:pt idx="1049">
                  <c:v>30.9</c:v>
                </c:pt>
                <c:pt idx="1050">
                  <c:v>36.954999999999998</c:v>
                </c:pt>
                <c:pt idx="1051">
                  <c:v>26.41</c:v>
                </c:pt>
                <c:pt idx="1052">
                  <c:v>29.83</c:v>
                </c:pt>
                <c:pt idx="1053">
                  <c:v>29.8</c:v>
                </c:pt>
                <c:pt idx="1054">
                  <c:v>21.47</c:v>
                </c:pt>
                <c:pt idx="1055">
                  <c:v>27.645</c:v>
                </c:pt>
                <c:pt idx="1056">
                  <c:v>28.9</c:v>
                </c:pt>
                <c:pt idx="1057">
                  <c:v>31.79</c:v>
                </c:pt>
                <c:pt idx="1058">
                  <c:v>39.49</c:v>
                </c:pt>
                <c:pt idx="1059">
                  <c:v>33.82</c:v>
                </c:pt>
                <c:pt idx="1060">
                  <c:v>32.01</c:v>
                </c:pt>
                <c:pt idx="1061">
                  <c:v>27.94</c:v>
                </c:pt>
                <c:pt idx="1062">
                  <c:v>41.14</c:v>
                </c:pt>
                <c:pt idx="1063">
                  <c:v>28.594999999999999</c:v>
                </c:pt>
                <c:pt idx="1064">
                  <c:v>25.6</c:v>
                </c:pt>
                <c:pt idx="1065">
                  <c:v>25.3</c:v>
                </c:pt>
                <c:pt idx="1066">
                  <c:v>37.29</c:v>
                </c:pt>
                <c:pt idx="1067">
                  <c:v>42.655000000000001</c:v>
                </c:pt>
                <c:pt idx="1068">
                  <c:v>21.66</c:v>
                </c:pt>
                <c:pt idx="1069">
                  <c:v>31.9</c:v>
                </c:pt>
                <c:pt idx="1070">
                  <c:v>37.07</c:v>
                </c:pt>
                <c:pt idx="1071">
                  <c:v>31.445</c:v>
                </c:pt>
                <c:pt idx="1072">
                  <c:v>31.254999999999999</c:v>
                </c:pt>
                <c:pt idx="1073">
                  <c:v>28.88</c:v>
                </c:pt>
                <c:pt idx="1074">
                  <c:v>18.335000000000001</c:v>
                </c:pt>
                <c:pt idx="1075">
                  <c:v>29.59</c:v>
                </c:pt>
                <c:pt idx="1076">
                  <c:v>32</c:v>
                </c:pt>
                <c:pt idx="1077">
                  <c:v>26.03</c:v>
                </c:pt>
                <c:pt idx="1078">
                  <c:v>31.68</c:v>
                </c:pt>
                <c:pt idx="1079">
                  <c:v>33.659999999999997</c:v>
                </c:pt>
                <c:pt idx="1080">
                  <c:v>21.78</c:v>
                </c:pt>
                <c:pt idx="1081">
                  <c:v>27.835000000000001</c:v>
                </c:pt>
                <c:pt idx="1082">
                  <c:v>19.95</c:v>
                </c:pt>
                <c:pt idx="1083">
                  <c:v>31.5</c:v>
                </c:pt>
                <c:pt idx="1084">
                  <c:v>30.495000000000001</c:v>
                </c:pt>
                <c:pt idx="1085">
                  <c:v>18.3</c:v>
                </c:pt>
                <c:pt idx="1086">
                  <c:v>28.975000000000001</c:v>
                </c:pt>
                <c:pt idx="1087">
                  <c:v>31.54</c:v>
                </c:pt>
                <c:pt idx="1088">
                  <c:v>47.74</c:v>
                </c:pt>
                <c:pt idx="1089">
                  <c:v>22.1</c:v>
                </c:pt>
                <c:pt idx="1090">
                  <c:v>36.19</c:v>
                </c:pt>
                <c:pt idx="1091">
                  <c:v>29.83</c:v>
                </c:pt>
                <c:pt idx="1092">
                  <c:v>32.700000000000003</c:v>
                </c:pt>
                <c:pt idx="1093">
                  <c:v>30.4</c:v>
                </c:pt>
                <c:pt idx="1094">
                  <c:v>33.700000000000003</c:v>
                </c:pt>
                <c:pt idx="1095">
                  <c:v>31.35</c:v>
                </c:pt>
                <c:pt idx="1096">
                  <c:v>34.96</c:v>
                </c:pt>
                <c:pt idx="1097">
                  <c:v>33.770000000000003</c:v>
                </c:pt>
                <c:pt idx="1098">
                  <c:v>30.875</c:v>
                </c:pt>
                <c:pt idx="1099">
                  <c:v>33.99</c:v>
                </c:pt>
                <c:pt idx="1100">
                  <c:v>19.094999999999999</c:v>
                </c:pt>
                <c:pt idx="1101">
                  <c:v>28.6</c:v>
                </c:pt>
                <c:pt idx="1102">
                  <c:v>38.94</c:v>
                </c:pt>
                <c:pt idx="1103">
                  <c:v>36.08</c:v>
                </c:pt>
                <c:pt idx="1104">
                  <c:v>29.8</c:v>
                </c:pt>
                <c:pt idx="1105">
                  <c:v>31.24</c:v>
                </c:pt>
                <c:pt idx="1106">
                  <c:v>29.925000000000001</c:v>
                </c:pt>
                <c:pt idx="1107">
                  <c:v>26.22</c:v>
                </c:pt>
                <c:pt idx="1108">
                  <c:v>30</c:v>
                </c:pt>
                <c:pt idx="1109">
                  <c:v>20.350000000000001</c:v>
                </c:pt>
                <c:pt idx="1110">
                  <c:v>32.299999999999997</c:v>
                </c:pt>
                <c:pt idx="1111">
                  <c:v>38.39</c:v>
                </c:pt>
                <c:pt idx="1112">
                  <c:v>25.85</c:v>
                </c:pt>
                <c:pt idx="1113">
                  <c:v>26.315000000000001</c:v>
                </c:pt>
                <c:pt idx="1114">
                  <c:v>24.51</c:v>
                </c:pt>
                <c:pt idx="1115">
                  <c:v>32.67</c:v>
                </c:pt>
                <c:pt idx="1116">
                  <c:v>29.64</c:v>
                </c:pt>
                <c:pt idx="1117">
                  <c:v>33.33</c:v>
                </c:pt>
                <c:pt idx="1118">
                  <c:v>35.75</c:v>
                </c:pt>
                <c:pt idx="1119">
                  <c:v>19.95</c:v>
                </c:pt>
                <c:pt idx="1120">
                  <c:v>31.4</c:v>
                </c:pt>
                <c:pt idx="1121">
                  <c:v>38.17</c:v>
                </c:pt>
                <c:pt idx="1122">
                  <c:v>36.86</c:v>
                </c:pt>
                <c:pt idx="1123">
                  <c:v>32.395000000000003</c:v>
                </c:pt>
                <c:pt idx="1124">
                  <c:v>42.75</c:v>
                </c:pt>
                <c:pt idx="1125">
                  <c:v>25.08</c:v>
                </c:pt>
                <c:pt idx="1126">
                  <c:v>29.9</c:v>
                </c:pt>
                <c:pt idx="1127">
                  <c:v>35.86</c:v>
                </c:pt>
                <c:pt idx="1128">
                  <c:v>32.799999999999997</c:v>
                </c:pt>
                <c:pt idx="1129">
                  <c:v>18.600000000000001</c:v>
                </c:pt>
                <c:pt idx="1130">
                  <c:v>23.87</c:v>
                </c:pt>
                <c:pt idx="1131">
                  <c:v>45.9</c:v>
                </c:pt>
                <c:pt idx="1132">
                  <c:v>40.28</c:v>
                </c:pt>
                <c:pt idx="1133">
                  <c:v>18.335000000000001</c:v>
                </c:pt>
                <c:pt idx="1134">
                  <c:v>33.82</c:v>
                </c:pt>
                <c:pt idx="1135">
                  <c:v>28.12</c:v>
                </c:pt>
                <c:pt idx="1136">
                  <c:v>25</c:v>
                </c:pt>
                <c:pt idx="1137">
                  <c:v>22.23</c:v>
                </c:pt>
                <c:pt idx="1138">
                  <c:v>30.25</c:v>
                </c:pt>
                <c:pt idx="1139">
                  <c:v>32.49</c:v>
                </c:pt>
                <c:pt idx="1140">
                  <c:v>37.07</c:v>
                </c:pt>
                <c:pt idx="1141">
                  <c:v>32.6</c:v>
                </c:pt>
                <c:pt idx="1142">
                  <c:v>24.86</c:v>
                </c:pt>
                <c:pt idx="1143">
                  <c:v>32.340000000000003</c:v>
                </c:pt>
                <c:pt idx="1144">
                  <c:v>32.299999999999997</c:v>
                </c:pt>
                <c:pt idx="1145">
                  <c:v>32.774999999999999</c:v>
                </c:pt>
                <c:pt idx="1146">
                  <c:v>32.799999999999997</c:v>
                </c:pt>
                <c:pt idx="1147">
                  <c:v>31.92</c:v>
                </c:pt>
                <c:pt idx="1148">
                  <c:v>21.5</c:v>
                </c:pt>
                <c:pt idx="1149">
                  <c:v>34.1</c:v>
                </c:pt>
                <c:pt idx="1150">
                  <c:v>30.305</c:v>
                </c:pt>
                <c:pt idx="1151">
                  <c:v>36.479999999999997</c:v>
                </c:pt>
                <c:pt idx="1152">
                  <c:v>32.56</c:v>
                </c:pt>
                <c:pt idx="1153">
                  <c:v>35.814999999999998</c:v>
                </c:pt>
                <c:pt idx="1154">
                  <c:v>27.93</c:v>
                </c:pt>
                <c:pt idx="1155">
                  <c:v>22.135000000000002</c:v>
                </c:pt>
                <c:pt idx="1156">
                  <c:v>44.88</c:v>
                </c:pt>
                <c:pt idx="1157">
                  <c:v>23.18</c:v>
                </c:pt>
                <c:pt idx="1158">
                  <c:v>30.59</c:v>
                </c:pt>
                <c:pt idx="1159">
                  <c:v>41.1</c:v>
                </c:pt>
                <c:pt idx="1160">
                  <c:v>34.58</c:v>
                </c:pt>
                <c:pt idx="1161">
                  <c:v>42.13</c:v>
                </c:pt>
                <c:pt idx="1162">
                  <c:v>38.83</c:v>
                </c:pt>
                <c:pt idx="1163">
                  <c:v>28.215</c:v>
                </c:pt>
                <c:pt idx="1164">
                  <c:v>28.31</c:v>
                </c:pt>
                <c:pt idx="1165">
                  <c:v>26.125</c:v>
                </c:pt>
                <c:pt idx="1166">
                  <c:v>40.369999999999997</c:v>
                </c:pt>
                <c:pt idx="1167">
                  <c:v>24.6</c:v>
                </c:pt>
                <c:pt idx="1168">
                  <c:v>35.200000000000003</c:v>
                </c:pt>
                <c:pt idx="1169">
                  <c:v>34.104999999999997</c:v>
                </c:pt>
                <c:pt idx="1170">
                  <c:v>27.36</c:v>
                </c:pt>
                <c:pt idx="1171">
                  <c:v>26.7</c:v>
                </c:pt>
                <c:pt idx="1172">
                  <c:v>41.91</c:v>
                </c:pt>
                <c:pt idx="1173">
                  <c:v>29.26</c:v>
                </c:pt>
                <c:pt idx="1174">
                  <c:v>32.11</c:v>
                </c:pt>
                <c:pt idx="1175">
                  <c:v>27.1</c:v>
                </c:pt>
                <c:pt idx="1176">
                  <c:v>24.13</c:v>
                </c:pt>
                <c:pt idx="1177">
                  <c:v>27.4</c:v>
                </c:pt>
                <c:pt idx="1178">
                  <c:v>34.865000000000002</c:v>
                </c:pt>
                <c:pt idx="1179">
                  <c:v>29.81</c:v>
                </c:pt>
                <c:pt idx="1180">
                  <c:v>41.325000000000003</c:v>
                </c:pt>
                <c:pt idx="1181">
                  <c:v>29.925000000000001</c:v>
                </c:pt>
                <c:pt idx="1182">
                  <c:v>30.3</c:v>
                </c:pt>
                <c:pt idx="1183">
                  <c:v>27.36</c:v>
                </c:pt>
                <c:pt idx="1184">
                  <c:v>28.49</c:v>
                </c:pt>
                <c:pt idx="1185">
                  <c:v>23.56</c:v>
                </c:pt>
                <c:pt idx="1186">
                  <c:v>35.625</c:v>
                </c:pt>
                <c:pt idx="1187">
                  <c:v>32.68</c:v>
                </c:pt>
                <c:pt idx="1188">
                  <c:v>25.27</c:v>
                </c:pt>
                <c:pt idx="1189">
                  <c:v>28</c:v>
                </c:pt>
                <c:pt idx="1190">
                  <c:v>32.774999999999999</c:v>
                </c:pt>
                <c:pt idx="1191">
                  <c:v>21.754999999999999</c:v>
                </c:pt>
                <c:pt idx="1192">
                  <c:v>32.395000000000003</c:v>
                </c:pt>
                <c:pt idx="1193">
                  <c:v>36.575000000000003</c:v>
                </c:pt>
                <c:pt idx="1194">
                  <c:v>21.754999999999999</c:v>
                </c:pt>
                <c:pt idx="1195">
                  <c:v>27.93</c:v>
                </c:pt>
                <c:pt idx="1196">
                  <c:v>30.02</c:v>
                </c:pt>
                <c:pt idx="1197">
                  <c:v>33.549999999999997</c:v>
                </c:pt>
                <c:pt idx="1198">
                  <c:v>29.355</c:v>
                </c:pt>
                <c:pt idx="1199">
                  <c:v>25.8</c:v>
                </c:pt>
                <c:pt idx="1200">
                  <c:v>24.32</c:v>
                </c:pt>
                <c:pt idx="1201">
                  <c:v>40.375</c:v>
                </c:pt>
                <c:pt idx="1202">
                  <c:v>32.11</c:v>
                </c:pt>
                <c:pt idx="1203">
                  <c:v>32.299999999999997</c:v>
                </c:pt>
                <c:pt idx="1204">
                  <c:v>27.28</c:v>
                </c:pt>
                <c:pt idx="1205">
                  <c:v>17.86</c:v>
                </c:pt>
                <c:pt idx="1206">
                  <c:v>34.799999999999997</c:v>
                </c:pt>
                <c:pt idx="1207">
                  <c:v>33.4</c:v>
                </c:pt>
                <c:pt idx="1208">
                  <c:v>25.555</c:v>
                </c:pt>
                <c:pt idx="1209">
                  <c:v>37.1</c:v>
                </c:pt>
                <c:pt idx="1210">
                  <c:v>30.875</c:v>
                </c:pt>
                <c:pt idx="1211">
                  <c:v>34.1</c:v>
                </c:pt>
                <c:pt idx="1212">
                  <c:v>21.47</c:v>
                </c:pt>
                <c:pt idx="1213">
                  <c:v>33.299999999999997</c:v>
                </c:pt>
                <c:pt idx="1214">
                  <c:v>31.254999999999999</c:v>
                </c:pt>
                <c:pt idx="1215">
                  <c:v>39.14</c:v>
                </c:pt>
                <c:pt idx="1216">
                  <c:v>25.08</c:v>
                </c:pt>
                <c:pt idx="1217">
                  <c:v>37.29</c:v>
                </c:pt>
                <c:pt idx="1218">
                  <c:v>34.6</c:v>
                </c:pt>
                <c:pt idx="1219">
                  <c:v>30.21</c:v>
                </c:pt>
                <c:pt idx="1220">
                  <c:v>21.945</c:v>
                </c:pt>
                <c:pt idx="1221">
                  <c:v>24.97</c:v>
                </c:pt>
                <c:pt idx="1222">
                  <c:v>25.3</c:v>
                </c:pt>
                <c:pt idx="1223">
                  <c:v>24.42</c:v>
                </c:pt>
                <c:pt idx="1224">
                  <c:v>23.94</c:v>
                </c:pt>
                <c:pt idx="1225">
                  <c:v>39.82</c:v>
                </c:pt>
                <c:pt idx="1226">
                  <c:v>16.815000000000001</c:v>
                </c:pt>
                <c:pt idx="1227">
                  <c:v>37.18</c:v>
                </c:pt>
                <c:pt idx="1228">
                  <c:v>34.43</c:v>
                </c:pt>
                <c:pt idx="1229">
                  <c:v>30.305</c:v>
                </c:pt>
                <c:pt idx="1230">
                  <c:v>34.484999999999999</c:v>
                </c:pt>
                <c:pt idx="1231">
                  <c:v>21.8</c:v>
                </c:pt>
                <c:pt idx="1232">
                  <c:v>24.605</c:v>
                </c:pt>
                <c:pt idx="1233">
                  <c:v>23.3</c:v>
                </c:pt>
                <c:pt idx="1234">
                  <c:v>27.83</c:v>
                </c:pt>
                <c:pt idx="1235">
                  <c:v>31.065000000000001</c:v>
                </c:pt>
                <c:pt idx="1236">
                  <c:v>21.66</c:v>
                </c:pt>
                <c:pt idx="1237">
                  <c:v>28.215</c:v>
                </c:pt>
                <c:pt idx="1238">
                  <c:v>22.704999999999998</c:v>
                </c:pt>
                <c:pt idx="1239">
                  <c:v>42.13</c:v>
                </c:pt>
                <c:pt idx="1240">
                  <c:v>41.8</c:v>
                </c:pt>
                <c:pt idx="1241">
                  <c:v>36.96</c:v>
                </c:pt>
                <c:pt idx="1242">
                  <c:v>21.28</c:v>
                </c:pt>
                <c:pt idx="1243">
                  <c:v>33.11</c:v>
                </c:pt>
                <c:pt idx="1244">
                  <c:v>33.33</c:v>
                </c:pt>
                <c:pt idx="1245">
                  <c:v>24.3</c:v>
                </c:pt>
                <c:pt idx="1246">
                  <c:v>25.7</c:v>
                </c:pt>
                <c:pt idx="1247">
                  <c:v>29.4</c:v>
                </c:pt>
                <c:pt idx="1248">
                  <c:v>39.82</c:v>
                </c:pt>
                <c:pt idx="1249">
                  <c:v>33.630000000000003</c:v>
                </c:pt>
                <c:pt idx="1250">
                  <c:v>29.83</c:v>
                </c:pt>
                <c:pt idx="1251">
                  <c:v>19.8</c:v>
                </c:pt>
                <c:pt idx="1252">
                  <c:v>27.3</c:v>
                </c:pt>
                <c:pt idx="1253">
                  <c:v>29.3</c:v>
                </c:pt>
                <c:pt idx="1254">
                  <c:v>27.72</c:v>
                </c:pt>
                <c:pt idx="1255">
                  <c:v>37.9</c:v>
                </c:pt>
                <c:pt idx="1256">
                  <c:v>36.384999999999998</c:v>
                </c:pt>
                <c:pt idx="1257">
                  <c:v>27.645</c:v>
                </c:pt>
                <c:pt idx="1258">
                  <c:v>37.715000000000003</c:v>
                </c:pt>
                <c:pt idx="1259">
                  <c:v>23.18</c:v>
                </c:pt>
                <c:pt idx="1260">
                  <c:v>20.52</c:v>
                </c:pt>
                <c:pt idx="1261">
                  <c:v>37.1</c:v>
                </c:pt>
                <c:pt idx="1262">
                  <c:v>28.05</c:v>
                </c:pt>
                <c:pt idx="1263">
                  <c:v>29.9</c:v>
                </c:pt>
                <c:pt idx="1264">
                  <c:v>33.344999999999999</c:v>
                </c:pt>
                <c:pt idx="1265">
                  <c:v>23.76</c:v>
                </c:pt>
                <c:pt idx="1266">
                  <c:v>30.5</c:v>
                </c:pt>
                <c:pt idx="1267">
                  <c:v>31.065000000000001</c:v>
                </c:pt>
                <c:pt idx="1268">
                  <c:v>33.299999999999997</c:v>
                </c:pt>
                <c:pt idx="1269">
                  <c:v>27.5</c:v>
                </c:pt>
                <c:pt idx="1270">
                  <c:v>33.914999999999999</c:v>
                </c:pt>
                <c:pt idx="1271">
                  <c:v>34.484999999999999</c:v>
                </c:pt>
                <c:pt idx="1272">
                  <c:v>25.52</c:v>
                </c:pt>
                <c:pt idx="1273">
                  <c:v>27.61</c:v>
                </c:pt>
                <c:pt idx="1274">
                  <c:v>27.06</c:v>
                </c:pt>
                <c:pt idx="1275">
                  <c:v>23.7</c:v>
                </c:pt>
                <c:pt idx="1276">
                  <c:v>30.4</c:v>
                </c:pt>
                <c:pt idx="1277">
                  <c:v>29.734999999999999</c:v>
                </c:pt>
                <c:pt idx="1278">
                  <c:v>29.925000000000001</c:v>
                </c:pt>
                <c:pt idx="1279">
                  <c:v>26.79</c:v>
                </c:pt>
                <c:pt idx="1280">
                  <c:v>33.33</c:v>
                </c:pt>
                <c:pt idx="1281">
                  <c:v>27.645</c:v>
                </c:pt>
                <c:pt idx="1282">
                  <c:v>21.66</c:v>
                </c:pt>
                <c:pt idx="1283">
                  <c:v>30.03</c:v>
                </c:pt>
                <c:pt idx="1284">
                  <c:v>36.299999999999997</c:v>
                </c:pt>
                <c:pt idx="1285">
                  <c:v>24.32</c:v>
                </c:pt>
                <c:pt idx="1286">
                  <c:v>17.29</c:v>
                </c:pt>
                <c:pt idx="1287">
                  <c:v>25.9</c:v>
                </c:pt>
                <c:pt idx="1288">
                  <c:v>39.4</c:v>
                </c:pt>
                <c:pt idx="1289">
                  <c:v>34.32</c:v>
                </c:pt>
                <c:pt idx="1290">
                  <c:v>19.95</c:v>
                </c:pt>
                <c:pt idx="1291">
                  <c:v>34.9</c:v>
                </c:pt>
                <c:pt idx="1292">
                  <c:v>23.21</c:v>
                </c:pt>
                <c:pt idx="1293">
                  <c:v>25.745000000000001</c:v>
                </c:pt>
                <c:pt idx="1294">
                  <c:v>25.175000000000001</c:v>
                </c:pt>
                <c:pt idx="1295">
                  <c:v>22</c:v>
                </c:pt>
                <c:pt idx="1296">
                  <c:v>26.125</c:v>
                </c:pt>
                <c:pt idx="1297">
                  <c:v>26.51</c:v>
                </c:pt>
                <c:pt idx="1298">
                  <c:v>27.454999999999998</c:v>
                </c:pt>
                <c:pt idx="1299">
                  <c:v>25.745000000000001</c:v>
                </c:pt>
                <c:pt idx="1300">
                  <c:v>30.36</c:v>
                </c:pt>
                <c:pt idx="1301">
                  <c:v>30.875</c:v>
                </c:pt>
                <c:pt idx="1302">
                  <c:v>20.8</c:v>
                </c:pt>
                <c:pt idx="1303">
                  <c:v>27.8</c:v>
                </c:pt>
                <c:pt idx="1304">
                  <c:v>24.605</c:v>
                </c:pt>
                <c:pt idx="1305">
                  <c:v>27.72</c:v>
                </c:pt>
                <c:pt idx="1306">
                  <c:v>21.85</c:v>
                </c:pt>
                <c:pt idx="1307">
                  <c:v>28.12</c:v>
                </c:pt>
                <c:pt idx="1308">
                  <c:v>30.2</c:v>
                </c:pt>
                <c:pt idx="1309">
                  <c:v>32.200000000000003</c:v>
                </c:pt>
                <c:pt idx="1310">
                  <c:v>26.315000000000001</c:v>
                </c:pt>
                <c:pt idx="1311">
                  <c:v>26.695</c:v>
                </c:pt>
                <c:pt idx="1312">
                  <c:v>42.9</c:v>
                </c:pt>
                <c:pt idx="1313">
                  <c:v>34.700000000000003</c:v>
                </c:pt>
                <c:pt idx="1314">
                  <c:v>23.655000000000001</c:v>
                </c:pt>
                <c:pt idx="1315">
                  <c:v>28.31</c:v>
                </c:pt>
                <c:pt idx="1316">
                  <c:v>20.6</c:v>
                </c:pt>
                <c:pt idx="1317">
                  <c:v>53.13</c:v>
                </c:pt>
                <c:pt idx="1318">
                  <c:v>39.71</c:v>
                </c:pt>
                <c:pt idx="1319">
                  <c:v>26.315000000000001</c:v>
                </c:pt>
                <c:pt idx="1320">
                  <c:v>31.065000000000001</c:v>
                </c:pt>
                <c:pt idx="1321">
                  <c:v>26.695</c:v>
                </c:pt>
                <c:pt idx="1322">
                  <c:v>38.83</c:v>
                </c:pt>
                <c:pt idx="1323">
                  <c:v>40.369999999999997</c:v>
                </c:pt>
                <c:pt idx="1324">
                  <c:v>25.934999999999999</c:v>
                </c:pt>
                <c:pt idx="1325">
                  <c:v>33.534999999999997</c:v>
                </c:pt>
                <c:pt idx="1326">
                  <c:v>32.869999999999997</c:v>
                </c:pt>
                <c:pt idx="1327">
                  <c:v>30.03</c:v>
                </c:pt>
                <c:pt idx="1328">
                  <c:v>24.225000000000001</c:v>
                </c:pt>
                <c:pt idx="1329">
                  <c:v>38.6</c:v>
                </c:pt>
                <c:pt idx="1330">
                  <c:v>25.74</c:v>
                </c:pt>
                <c:pt idx="1331">
                  <c:v>33.4</c:v>
                </c:pt>
                <c:pt idx="1332">
                  <c:v>44.7</c:v>
                </c:pt>
                <c:pt idx="1333">
                  <c:v>30.97</c:v>
                </c:pt>
                <c:pt idx="1334">
                  <c:v>31.92</c:v>
                </c:pt>
                <c:pt idx="1335">
                  <c:v>26.85</c:v>
                </c:pt>
                <c:pt idx="1336">
                  <c:v>25.8</c:v>
                </c:pt>
                <c:pt idx="1337">
                  <c:v>29.07</c:v>
                </c:pt>
              </c:numCache>
            </c:numRef>
          </c:xVal>
          <c:yVal>
            <c:numRef>
              <c:f>'insurance (4)0---'!$H$2:$H$1339</c:f>
              <c:numCache>
                <c:formatCode>General</c:formatCode>
                <c:ptCount val="1338"/>
                <c:pt idx="0">
                  <c:v>16884.923999999999</c:v>
                </c:pt>
                <c:pt idx="1">
                  <c:v>1725.5523000000001</c:v>
                </c:pt>
                <c:pt idx="2">
                  <c:v>4449.4620000000004</c:v>
                </c:pt>
                <c:pt idx="3">
                  <c:v>21984.47061</c:v>
                </c:pt>
                <c:pt idx="4">
                  <c:v>3866.8552</c:v>
                </c:pt>
                <c:pt idx="5">
                  <c:v>3756.6215999999999</c:v>
                </c:pt>
                <c:pt idx="6">
                  <c:v>8240.5895999999993</c:v>
                </c:pt>
                <c:pt idx="7">
                  <c:v>7281.5056000000004</c:v>
                </c:pt>
                <c:pt idx="8">
                  <c:v>6406.4107000000004</c:v>
                </c:pt>
                <c:pt idx="9">
                  <c:v>28923.136920000001</c:v>
                </c:pt>
                <c:pt idx="10">
                  <c:v>2721.3208</c:v>
                </c:pt>
                <c:pt idx="11">
                  <c:v>27808.7251</c:v>
                </c:pt>
                <c:pt idx="12">
                  <c:v>1826.8430000000001</c:v>
                </c:pt>
                <c:pt idx="13">
                  <c:v>11090.7178</c:v>
                </c:pt>
                <c:pt idx="14">
                  <c:v>39611.757700000002</c:v>
                </c:pt>
                <c:pt idx="15">
                  <c:v>1837.2370000000001</c:v>
                </c:pt>
                <c:pt idx="16">
                  <c:v>10797.3362</c:v>
                </c:pt>
                <c:pt idx="17">
                  <c:v>2395.17155</c:v>
                </c:pt>
                <c:pt idx="18">
                  <c:v>10602.385</c:v>
                </c:pt>
                <c:pt idx="19">
                  <c:v>36837.466999999997</c:v>
                </c:pt>
                <c:pt idx="20">
                  <c:v>13228.846949999999</c:v>
                </c:pt>
                <c:pt idx="21">
                  <c:v>4149.7359999999999</c:v>
                </c:pt>
                <c:pt idx="22">
                  <c:v>1137.011</c:v>
                </c:pt>
                <c:pt idx="23">
                  <c:v>37701.876799999998</c:v>
                </c:pt>
                <c:pt idx="24">
                  <c:v>6203.90175</c:v>
                </c:pt>
                <c:pt idx="25">
                  <c:v>14001.1338</c:v>
                </c:pt>
                <c:pt idx="26">
                  <c:v>14451.835150000001</c:v>
                </c:pt>
                <c:pt idx="27">
                  <c:v>12268.632250000001</c:v>
                </c:pt>
                <c:pt idx="28">
                  <c:v>2775.1921499999999</c:v>
                </c:pt>
                <c:pt idx="29">
                  <c:v>38711</c:v>
                </c:pt>
                <c:pt idx="30">
                  <c:v>35585.576000000001</c:v>
                </c:pt>
                <c:pt idx="31">
                  <c:v>2198.1898500000002</c:v>
                </c:pt>
                <c:pt idx="32">
                  <c:v>4687.7969999999996</c:v>
                </c:pt>
                <c:pt idx="33">
                  <c:v>13770.097900000001</c:v>
                </c:pt>
                <c:pt idx="34">
                  <c:v>51194.559139999998</c:v>
                </c:pt>
                <c:pt idx="35">
                  <c:v>1625.4337499999999</c:v>
                </c:pt>
                <c:pt idx="36">
                  <c:v>15612.19335</c:v>
                </c:pt>
                <c:pt idx="37">
                  <c:v>2302.3000000000002</c:v>
                </c:pt>
                <c:pt idx="38">
                  <c:v>39774.276299999998</c:v>
                </c:pt>
                <c:pt idx="39">
                  <c:v>48173.360999999997</c:v>
                </c:pt>
                <c:pt idx="40">
                  <c:v>3046.0619999999999</c:v>
                </c:pt>
                <c:pt idx="41">
                  <c:v>4949.7587000000003</c:v>
                </c:pt>
                <c:pt idx="42">
                  <c:v>6272.4772000000003</c:v>
                </c:pt>
                <c:pt idx="43">
                  <c:v>6313.759</c:v>
                </c:pt>
                <c:pt idx="44">
                  <c:v>6079.6715000000004</c:v>
                </c:pt>
                <c:pt idx="45">
                  <c:v>20630.283510000001</c:v>
                </c:pt>
                <c:pt idx="46">
                  <c:v>3393.35635</c:v>
                </c:pt>
                <c:pt idx="47">
                  <c:v>3556.9223000000002</c:v>
                </c:pt>
                <c:pt idx="48">
                  <c:v>12629.896699999999</c:v>
                </c:pt>
                <c:pt idx="49">
                  <c:v>38709.175999999999</c:v>
                </c:pt>
                <c:pt idx="50">
                  <c:v>2211.1307499999998</c:v>
                </c:pt>
                <c:pt idx="51">
                  <c:v>3579.8287</c:v>
                </c:pt>
                <c:pt idx="52">
                  <c:v>23568.272000000001</c:v>
                </c:pt>
                <c:pt idx="53">
                  <c:v>37742.575700000001</c:v>
                </c:pt>
                <c:pt idx="54">
                  <c:v>8059.6791000000003</c:v>
                </c:pt>
                <c:pt idx="55">
                  <c:v>47496.494449999998</c:v>
                </c:pt>
                <c:pt idx="56">
                  <c:v>13607.36875</c:v>
                </c:pt>
                <c:pt idx="57">
                  <c:v>34303.167200000004</c:v>
                </c:pt>
                <c:pt idx="58">
                  <c:v>23244.790199999999</c:v>
                </c:pt>
                <c:pt idx="59">
                  <c:v>5989.5236500000001</c:v>
                </c:pt>
                <c:pt idx="60">
                  <c:v>8606.2173999999995</c:v>
                </c:pt>
                <c:pt idx="61">
                  <c:v>4504.6624000000002</c:v>
                </c:pt>
                <c:pt idx="62">
                  <c:v>30166.618170000002</c:v>
                </c:pt>
                <c:pt idx="63">
                  <c:v>4133.6416499999996</c:v>
                </c:pt>
                <c:pt idx="64">
                  <c:v>14711.7438</c:v>
                </c:pt>
                <c:pt idx="65">
                  <c:v>1743.2139999999999</c:v>
                </c:pt>
                <c:pt idx="66">
                  <c:v>14235.072</c:v>
                </c:pt>
                <c:pt idx="67">
                  <c:v>6389.3778499999999</c:v>
                </c:pt>
                <c:pt idx="68">
                  <c:v>5920.1040999999996</c:v>
                </c:pt>
                <c:pt idx="69">
                  <c:v>17663.144199999999</c:v>
                </c:pt>
                <c:pt idx="70">
                  <c:v>16577.779500000001</c:v>
                </c:pt>
                <c:pt idx="71">
                  <c:v>6799.4579999999996</c:v>
                </c:pt>
                <c:pt idx="72">
                  <c:v>11741.726000000001</c:v>
                </c:pt>
                <c:pt idx="73">
                  <c:v>11946.625899999999</c:v>
                </c:pt>
                <c:pt idx="74">
                  <c:v>7726.8540000000003</c:v>
                </c:pt>
                <c:pt idx="75">
                  <c:v>11356.660900000001</c:v>
                </c:pt>
                <c:pt idx="76">
                  <c:v>3947.4131000000002</c:v>
                </c:pt>
                <c:pt idx="77">
                  <c:v>1532.4697000000001</c:v>
                </c:pt>
                <c:pt idx="78">
                  <c:v>2755.0209500000001</c:v>
                </c:pt>
                <c:pt idx="79">
                  <c:v>6571.0243499999997</c:v>
                </c:pt>
                <c:pt idx="80">
                  <c:v>4441.2131499999996</c:v>
                </c:pt>
                <c:pt idx="81">
                  <c:v>7935.29115</c:v>
                </c:pt>
                <c:pt idx="82">
                  <c:v>37165.163800000002</c:v>
                </c:pt>
                <c:pt idx="83">
                  <c:v>11033.661700000001</c:v>
                </c:pt>
                <c:pt idx="84">
                  <c:v>39836.519</c:v>
                </c:pt>
                <c:pt idx="85">
                  <c:v>21098.554049999999</c:v>
                </c:pt>
                <c:pt idx="86">
                  <c:v>43578.939400000003</c:v>
                </c:pt>
                <c:pt idx="87">
                  <c:v>11073.175999999999</c:v>
                </c:pt>
                <c:pt idx="88">
                  <c:v>8026.6665999999996</c:v>
                </c:pt>
                <c:pt idx="89">
                  <c:v>11082.5772</c:v>
                </c:pt>
                <c:pt idx="90">
                  <c:v>2026.9740999999999</c:v>
                </c:pt>
                <c:pt idx="91">
                  <c:v>10942.13205</c:v>
                </c:pt>
                <c:pt idx="92">
                  <c:v>30184.936699999998</c:v>
                </c:pt>
                <c:pt idx="93">
                  <c:v>5729.0052999999998</c:v>
                </c:pt>
                <c:pt idx="94">
                  <c:v>47291.055</c:v>
                </c:pt>
                <c:pt idx="95">
                  <c:v>3766.8838000000001</c:v>
                </c:pt>
                <c:pt idx="96">
                  <c:v>12105.32</c:v>
                </c:pt>
                <c:pt idx="97">
                  <c:v>10226.2842</c:v>
                </c:pt>
                <c:pt idx="98">
                  <c:v>22412.648499999999</c:v>
                </c:pt>
                <c:pt idx="99">
                  <c:v>15820.699000000001</c:v>
                </c:pt>
                <c:pt idx="100">
                  <c:v>6186.1270000000004</c:v>
                </c:pt>
                <c:pt idx="101">
                  <c:v>3645.0893999999998</c:v>
                </c:pt>
                <c:pt idx="102">
                  <c:v>21344.846699999998</c:v>
                </c:pt>
                <c:pt idx="103">
                  <c:v>30942.191800000001</c:v>
                </c:pt>
                <c:pt idx="104">
                  <c:v>5003.8530000000001</c:v>
                </c:pt>
                <c:pt idx="105">
                  <c:v>17560.37975</c:v>
                </c:pt>
                <c:pt idx="106">
                  <c:v>2331.5189999999998</c:v>
                </c:pt>
                <c:pt idx="107">
                  <c:v>3877.3042500000001</c:v>
                </c:pt>
                <c:pt idx="108">
                  <c:v>2867.1196</c:v>
                </c:pt>
                <c:pt idx="109">
                  <c:v>47055.532099999997</c:v>
                </c:pt>
                <c:pt idx="110">
                  <c:v>10825.253699999999</c:v>
                </c:pt>
                <c:pt idx="111">
                  <c:v>11881.358</c:v>
                </c:pt>
                <c:pt idx="112">
                  <c:v>4646.759</c:v>
                </c:pt>
                <c:pt idx="113">
                  <c:v>2404.7338</c:v>
                </c:pt>
                <c:pt idx="114">
                  <c:v>11488.31695</c:v>
                </c:pt>
                <c:pt idx="115">
                  <c:v>30259.995559999999</c:v>
                </c:pt>
                <c:pt idx="116">
                  <c:v>11381.3254</c:v>
                </c:pt>
                <c:pt idx="117">
                  <c:v>19107.779600000002</c:v>
                </c:pt>
                <c:pt idx="118">
                  <c:v>8601.3292999999994</c:v>
                </c:pt>
                <c:pt idx="119">
                  <c:v>6686.4313000000002</c:v>
                </c:pt>
                <c:pt idx="120">
                  <c:v>7740.3370000000004</c:v>
                </c:pt>
                <c:pt idx="121">
                  <c:v>1705.6244999999999</c:v>
                </c:pt>
                <c:pt idx="122">
                  <c:v>2257.47525</c:v>
                </c:pt>
                <c:pt idx="123">
                  <c:v>39556.494500000001</c:v>
                </c:pt>
                <c:pt idx="124">
                  <c:v>10115.00885</c:v>
                </c:pt>
                <c:pt idx="125">
                  <c:v>3385.3991500000002</c:v>
                </c:pt>
                <c:pt idx="126">
                  <c:v>17081.080000000002</c:v>
                </c:pt>
                <c:pt idx="127">
                  <c:v>9634.5380000000005</c:v>
                </c:pt>
                <c:pt idx="128">
                  <c:v>32734.186300000001</c:v>
                </c:pt>
                <c:pt idx="129">
                  <c:v>6082.4049999999997</c:v>
                </c:pt>
                <c:pt idx="130">
                  <c:v>12815.444949999999</c:v>
                </c:pt>
                <c:pt idx="131">
                  <c:v>13616.3586</c:v>
                </c:pt>
                <c:pt idx="132">
                  <c:v>11163.567999999999</c:v>
                </c:pt>
                <c:pt idx="133">
                  <c:v>1632.5644500000001</c:v>
                </c:pt>
                <c:pt idx="134">
                  <c:v>2457.2111500000001</c:v>
                </c:pt>
                <c:pt idx="135">
                  <c:v>2155.6815000000001</c:v>
                </c:pt>
                <c:pt idx="136">
                  <c:v>1261.442</c:v>
                </c:pt>
                <c:pt idx="137">
                  <c:v>2045.68525</c:v>
                </c:pt>
                <c:pt idx="138">
                  <c:v>27322.73386</c:v>
                </c:pt>
                <c:pt idx="139">
                  <c:v>2166.732</c:v>
                </c:pt>
                <c:pt idx="140">
                  <c:v>27375.904780000001</c:v>
                </c:pt>
                <c:pt idx="141">
                  <c:v>3490.5491000000002</c:v>
                </c:pt>
                <c:pt idx="142">
                  <c:v>18972.494999999999</c:v>
                </c:pt>
                <c:pt idx="143">
                  <c:v>18157.876</c:v>
                </c:pt>
                <c:pt idx="144">
                  <c:v>20745.989099999999</c:v>
                </c:pt>
                <c:pt idx="145">
                  <c:v>5138.2566999999999</c:v>
                </c:pt>
                <c:pt idx="146">
                  <c:v>40720.551050000002</c:v>
                </c:pt>
                <c:pt idx="147">
                  <c:v>9877.6077000000005</c:v>
                </c:pt>
                <c:pt idx="148">
                  <c:v>10959.6947</c:v>
                </c:pt>
                <c:pt idx="149">
                  <c:v>1842.519</c:v>
                </c:pt>
                <c:pt idx="150">
                  <c:v>5125.2156999999997</c:v>
                </c:pt>
                <c:pt idx="151">
                  <c:v>7789.6350000000002</c:v>
                </c:pt>
                <c:pt idx="152">
                  <c:v>6334.3435499999996</c:v>
                </c:pt>
                <c:pt idx="153">
                  <c:v>19964.746299999999</c:v>
                </c:pt>
                <c:pt idx="154">
                  <c:v>7077.1894000000002</c:v>
                </c:pt>
                <c:pt idx="155">
                  <c:v>6948.7007999999996</c:v>
                </c:pt>
                <c:pt idx="156">
                  <c:v>21223.675800000001</c:v>
                </c:pt>
                <c:pt idx="157">
                  <c:v>15518.180249999999</c:v>
                </c:pt>
                <c:pt idx="158">
                  <c:v>36950.256699999998</c:v>
                </c:pt>
                <c:pt idx="159">
                  <c:v>19749.383379999999</c:v>
                </c:pt>
                <c:pt idx="160">
                  <c:v>21348.705999999998</c:v>
                </c:pt>
                <c:pt idx="161">
                  <c:v>36149.483500000002</c:v>
                </c:pt>
                <c:pt idx="162">
                  <c:v>10450.552</c:v>
                </c:pt>
                <c:pt idx="163">
                  <c:v>5152.134</c:v>
                </c:pt>
                <c:pt idx="164">
                  <c:v>5028.1466</c:v>
                </c:pt>
                <c:pt idx="165">
                  <c:v>10407.085849999999</c:v>
                </c:pt>
                <c:pt idx="166">
                  <c:v>4830.63</c:v>
                </c:pt>
                <c:pt idx="167">
                  <c:v>6128.79745</c:v>
                </c:pt>
                <c:pt idx="168">
                  <c:v>2719.2797500000001</c:v>
                </c:pt>
                <c:pt idx="169">
                  <c:v>4827.9049500000001</c:v>
                </c:pt>
                <c:pt idx="170">
                  <c:v>13405.390299999999</c:v>
                </c:pt>
                <c:pt idx="171">
                  <c:v>8116.68</c:v>
                </c:pt>
                <c:pt idx="172">
                  <c:v>1694.7963999999999</c:v>
                </c:pt>
                <c:pt idx="173">
                  <c:v>5246.0469999999996</c:v>
                </c:pt>
                <c:pt idx="174">
                  <c:v>2855.4375500000001</c:v>
                </c:pt>
                <c:pt idx="175">
                  <c:v>48824.45</c:v>
                </c:pt>
                <c:pt idx="176">
                  <c:v>6455.86265</c:v>
                </c:pt>
                <c:pt idx="177">
                  <c:v>10436.096</c:v>
                </c:pt>
                <c:pt idx="178">
                  <c:v>8823.2790000000005</c:v>
                </c:pt>
                <c:pt idx="179">
                  <c:v>8538.28845</c:v>
                </c:pt>
                <c:pt idx="180">
                  <c:v>11735.87905</c:v>
                </c:pt>
                <c:pt idx="181">
                  <c:v>1631.8212000000001</c:v>
                </c:pt>
                <c:pt idx="182">
                  <c:v>4005.4225000000001</c:v>
                </c:pt>
                <c:pt idx="183">
                  <c:v>7419.4778999999999</c:v>
                </c:pt>
                <c:pt idx="184">
                  <c:v>7731.4270999999999</c:v>
                </c:pt>
                <c:pt idx="185">
                  <c:v>43753.337050000002</c:v>
                </c:pt>
                <c:pt idx="186">
                  <c:v>3981.9767999999999</c:v>
                </c:pt>
                <c:pt idx="187">
                  <c:v>5325.6509999999998</c:v>
                </c:pt>
                <c:pt idx="188">
                  <c:v>6775.9610000000002</c:v>
                </c:pt>
                <c:pt idx="189">
                  <c:v>4922.9159</c:v>
                </c:pt>
                <c:pt idx="190">
                  <c:v>12557.605299999999</c:v>
                </c:pt>
                <c:pt idx="191">
                  <c:v>4883.866</c:v>
                </c:pt>
                <c:pt idx="192">
                  <c:v>2137.6536000000001</c:v>
                </c:pt>
                <c:pt idx="193">
                  <c:v>12044.342000000001</c:v>
                </c:pt>
                <c:pt idx="194">
                  <c:v>1137.4697000000001</c:v>
                </c:pt>
                <c:pt idx="195">
                  <c:v>1639.5631000000001</c:v>
                </c:pt>
                <c:pt idx="196">
                  <c:v>5649.7150000000001</c:v>
                </c:pt>
                <c:pt idx="197">
                  <c:v>8516.8289999999997</c:v>
                </c:pt>
                <c:pt idx="198">
                  <c:v>9644.2525000000005</c:v>
                </c:pt>
                <c:pt idx="199">
                  <c:v>14901.5167</c:v>
                </c:pt>
                <c:pt idx="200">
                  <c:v>2130.6759000000002</c:v>
                </c:pt>
                <c:pt idx="201">
                  <c:v>8871.1517000000003</c:v>
                </c:pt>
                <c:pt idx="202">
                  <c:v>13012.20865</c:v>
                </c:pt>
                <c:pt idx="203">
                  <c:v>37133.898200000003</c:v>
                </c:pt>
                <c:pt idx="204">
                  <c:v>7147.1049999999996</c:v>
                </c:pt>
                <c:pt idx="205">
                  <c:v>4337.7352000000001</c:v>
                </c:pt>
                <c:pt idx="206">
                  <c:v>11743.299000000001</c:v>
                </c:pt>
                <c:pt idx="207">
                  <c:v>20984.0936</c:v>
                </c:pt>
                <c:pt idx="208">
                  <c:v>13880.949000000001</c:v>
                </c:pt>
                <c:pt idx="209">
                  <c:v>6610.1097</c:v>
                </c:pt>
                <c:pt idx="210">
                  <c:v>1980.07</c:v>
                </c:pt>
                <c:pt idx="211">
                  <c:v>8162.7162500000004</c:v>
                </c:pt>
                <c:pt idx="212">
                  <c:v>3537.703</c:v>
                </c:pt>
                <c:pt idx="213">
                  <c:v>5002.7826999999997</c:v>
                </c:pt>
                <c:pt idx="214">
                  <c:v>8520.0259999999998</c:v>
                </c:pt>
                <c:pt idx="215">
                  <c:v>7371.7719999999999</c:v>
                </c:pt>
                <c:pt idx="216">
                  <c:v>10355.641</c:v>
                </c:pt>
                <c:pt idx="217">
                  <c:v>2483.7359999999999</c:v>
                </c:pt>
                <c:pt idx="218">
                  <c:v>3392.9767999999999</c:v>
                </c:pt>
                <c:pt idx="219">
                  <c:v>25081.76784</c:v>
                </c:pt>
                <c:pt idx="220">
                  <c:v>5012.4709999999995</c:v>
                </c:pt>
                <c:pt idx="221">
                  <c:v>10564.8845</c:v>
                </c:pt>
                <c:pt idx="222">
                  <c:v>5253.5240000000003</c:v>
                </c:pt>
                <c:pt idx="223">
                  <c:v>34779.614999999998</c:v>
                </c:pt>
                <c:pt idx="224">
                  <c:v>19515.5416</c:v>
                </c:pt>
                <c:pt idx="225">
                  <c:v>11987.1682</c:v>
                </c:pt>
                <c:pt idx="226">
                  <c:v>2689.4953999999998</c:v>
                </c:pt>
                <c:pt idx="227">
                  <c:v>24227.337240000001</c:v>
                </c:pt>
                <c:pt idx="228">
                  <c:v>7358.1756500000001</c:v>
                </c:pt>
                <c:pt idx="229">
                  <c:v>9225.2564000000002</c:v>
                </c:pt>
                <c:pt idx="230">
                  <c:v>7443.6430499999997</c:v>
                </c:pt>
                <c:pt idx="231">
                  <c:v>14001.286700000001</c:v>
                </c:pt>
                <c:pt idx="232">
                  <c:v>1727.7850000000001</c:v>
                </c:pt>
                <c:pt idx="233">
                  <c:v>12333.828</c:v>
                </c:pt>
                <c:pt idx="234">
                  <c:v>6710.1918999999998</c:v>
                </c:pt>
                <c:pt idx="235">
                  <c:v>19444.265800000001</c:v>
                </c:pt>
                <c:pt idx="236">
                  <c:v>1615.7666999999999</c:v>
                </c:pt>
                <c:pt idx="237">
                  <c:v>4463.2051000000001</c:v>
                </c:pt>
                <c:pt idx="238">
                  <c:v>17352.6803</c:v>
                </c:pt>
                <c:pt idx="239">
                  <c:v>7152.6714000000002</c:v>
                </c:pt>
                <c:pt idx="240">
                  <c:v>38511.628299999997</c:v>
                </c:pt>
                <c:pt idx="241">
                  <c:v>5354.0746499999996</c:v>
                </c:pt>
                <c:pt idx="242">
                  <c:v>35160.134570000002</c:v>
                </c:pt>
                <c:pt idx="243">
                  <c:v>7196.8670000000002</c:v>
                </c:pt>
                <c:pt idx="244">
                  <c:v>29523.1656</c:v>
                </c:pt>
                <c:pt idx="245">
                  <c:v>24476.478510000001</c:v>
                </c:pt>
                <c:pt idx="246">
                  <c:v>12648.7034</c:v>
                </c:pt>
                <c:pt idx="247">
                  <c:v>1986.9333999999999</c:v>
                </c:pt>
                <c:pt idx="248">
                  <c:v>1832.0940000000001</c:v>
                </c:pt>
                <c:pt idx="249">
                  <c:v>4040.55825</c:v>
                </c:pt>
                <c:pt idx="250">
                  <c:v>12829.455099999999</c:v>
                </c:pt>
                <c:pt idx="251">
                  <c:v>47305.305</c:v>
                </c:pt>
                <c:pt idx="252">
                  <c:v>44260.749900000003</c:v>
                </c:pt>
                <c:pt idx="253">
                  <c:v>4260.7439999999997</c:v>
                </c:pt>
                <c:pt idx="254">
                  <c:v>41097.161749999999</c:v>
                </c:pt>
                <c:pt idx="255">
                  <c:v>13047.332350000001</c:v>
                </c:pt>
                <c:pt idx="256">
                  <c:v>43921.183700000001</c:v>
                </c:pt>
                <c:pt idx="257">
                  <c:v>5400.9804999999997</c:v>
                </c:pt>
                <c:pt idx="258">
                  <c:v>11520.099850000001</c:v>
                </c:pt>
                <c:pt idx="259">
                  <c:v>33750.291799999999</c:v>
                </c:pt>
                <c:pt idx="260">
                  <c:v>11837.16</c:v>
                </c:pt>
                <c:pt idx="261">
                  <c:v>17085.267599999999</c:v>
                </c:pt>
                <c:pt idx="262">
                  <c:v>24869.836800000001</c:v>
                </c:pt>
                <c:pt idx="263">
                  <c:v>36219.405449999998</c:v>
                </c:pt>
                <c:pt idx="264">
                  <c:v>20462.997660000001</c:v>
                </c:pt>
                <c:pt idx="265">
                  <c:v>46151.124499999998</c:v>
                </c:pt>
                <c:pt idx="266">
                  <c:v>17179.522000000001</c:v>
                </c:pt>
                <c:pt idx="267">
                  <c:v>14590.63205</c:v>
                </c:pt>
                <c:pt idx="268">
                  <c:v>7441.0529999999999</c:v>
                </c:pt>
                <c:pt idx="269">
                  <c:v>9282.4806000000008</c:v>
                </c:pt>
                <c:pt idx="270">
                  <c:v>1719.4363000000001</c:v>
                </c:pt>
                <c:pt idx="271">
                  <c:v>42856.838000000003</c:v>
                </c:pt>
                <c:pt idx="272">
                  <c:v>7265.7025000000003</c:v>
                </c:pt>
                <c:pt idx="273">
                  <c:v>9617.6624499999998</c:v>
                </c:pt>
                <c:pt idx="274">
                  <c:v>2523.1695</c:v>
                </c:pt>
                <c:pt idx="275">
                  <c:v>9715.8410000000003</c:v>
                </c:pt>
                <c:pt idx="276">
                  <c:v>2803.69785</c:v>
                </c:pt>
                <c:pt idx="277">
                  <c:v>2150.4690000000001</c:v>
                </c:pt>
                <c:pt idx="278">
                  <c:v>12928.7911</c:v>
                </c:pt>
                <c:pt idx="279">
                  <c:v>9855.1314000000002</c:v>
                </c:pt>
                <c:pt idx="280">
                  <c:v>22331.566800000001</c:v>
                </c:pt>
                <c:pt idx="281">
                  <c:v>48549.178350000002</c:v>
                </c:pt>
                <c:pt idx="282">
                  <c:v>4237.12655</c:v>
                </c:pt>
                <c:pt idx="283">
                  <c:v>11879.10405</c:v>
                </c:pt>
                <c:pt idx="284">
                  <c:v>9625.92</c:v>
                </c:pt>
                <c:pt idx="285">
                  <c:v>7742.1098000000002</c:v>
                </c:pt>
                <c:pt idx="286">
                  <c:v>9432.9253000000008</c:v>
                </c:pt>
                <c:pt idx="287">
                  <c:v>14256.192800000001</c:v>
                </c:pt>
                <c:pt idx="288">
                  <c:v>47896.79135</c:v>
                </c:pt>
                <c:pt idx="289">
                  <c:v>25992.821039999999</c:v>
                </c:pt>
                <c:pt idx="290">
                  <c:v>3172.018</c:v>
                </c:pt>
                <c:pt idx="291">
                  <c:v>20277.807509999999</c:v>
                </c:pt>
                <c:pt idx="292">
                  <c:v>42112.2356</c:v>
                </c:pt>
                <c:pt idx="293">
                  <c:v>2156.7518</c:v>
                </c:pt>
                <c:pt idx="294">
                  <c:v>3906.127</c:v>
                </c:pt>
                <c:pt idx="295">
                  <c:v>1704.5681</c:v>
                </c:pt>
                <c:pt idx="296">
                  <c:v>16297.846</c:v>
                </c:pt>
                <c:pt idx="297">
                  <c:v>21978.676899999999</c:v>
                </c:pt>
                <c:pt idx="298">
                  <c:v>38746.355100000001</c:v>
                </c:pt>
                <c:pt idx="299">
                  <c:v>9249.4951999999994</c:v>
                </c:pt>
                <c:pt idx="300">
                  <c:v>6746.7425000000003</c:v>
                </c:pt>
                <c:pt idx="301">
                  <c:v>24873.384900000001</c:v>
                </c:pt>
                <c:pt idx="302">
                  <c:v>12265.5069</c:v>
                </c:pt>
                <c:pt idx="303">
                  <c:v>4349.4620000000004</c:v>
                </c:pt>
                <c:pt idx="304">
                  <c:v>12646.207</c:v>
                </c:pt>
                <c:pt idx="305">
                  <c:v>19442.353500000001</c:v>
                </c:pt>
                <c:pt idx="306">
                  <c:v>20177.671129999999</c:v>
                </c:pt>
                <c:pt idx="307">
                  <c:v>4151.0286999999998</c:v>
                </c:pt>
                <c:pt idx="308">
                  <c:v>11944.594349999999</c:v>
                </c:pt>
                <c:pt idx="309">
                  <c:v>7749.1563999999998</c:v>
                </c:pt>
                <c:pt idx="310">
                  <c:v>8444.4740000000002</c:v>
                </c:pt>
                <c:pt idx="311">
                  <c:v>1737.376</c:v>
                </c:pt>
                <c:pt idx="312">
                  <c:v>42124.515299999999</c:v>
                </c:pt>
                <c:pt idx="313">
                  <c:v>8124.4084000000003</c:v>
                </c:pt>
                <c:pt idx="314">
                  <c:v>34838.873</c:v>
                </c:pt>
                <c:pt idx="315">
                  <c:v>9722.7695000000003</c:v>
                </c:pt>
                <c:pt idx="316">
                  <c:v>8835.2649500000007</c:v>
                </c:pt>
                <c:pt idx="317">
                  <c:v>10435.06525</c:v>
                </c:pt>
                <c:pt idx="318">
                  <c:v>7421.1945500000002</c:v>
                </c:pt>
                <c:pt idx="319">
                  <c:v>4667.6076499999999</c:v>
                </c:pt>
                <c:pt idx="320">
                  <c:v>4894.7533000000003</c:v>
                </c:pt>
                <c:pt idx="321">
                  <c:v>24671.663339999999</c:v>
                </c:pt>
                <c:pt idx="322">
                  <c:v>35491.64</c:v>
                </c:pt>
                <c:pt idx="323">
                  <c:v>11566.30055</c:v>
                </c:pt>
                <c:pt idx="324">
                  <c:v>2866.0909999999999</c:v>
                </c:pt>
                <c:pt idx="325">
                  <c:v>6600.2059499999996</c:v>
                </c:pt>
                <c:pt idx="326">
                  <c:v>3561.8888999999999</c:v>
                </c:pt>
                <c:pt idx="327">
                  <c:v>42760.502200000003</c:v>
                </c:pt>
                <c:pt idx="328">
                  <c:v>47928.03</c:v>
                </c:pt>
                <c:pt idx="329">
                  <c:v>9144.5650000000005</c:v>
                </c:pt>
                <c:pt idx="330">
                  <c:v>48517.563150000002</c:v>
                </c:pt>
                <c:pt idx="331">
                  <c:v>24393.6224</c:v>
                </c:pt>
                <c:pt idx="332">
                  <c:v>13429.035400000001</c:v>
                </c:pt>
                <c:pt idx="333">
                  <c:v>11658.379150000001</c:v>
                </c:pt>
                <c:pt idx="334">
                  <c:v>19144.576519999999</c:v>
                </c:pt>
                <c:pt idx="335">
                  <c:v>13822.803</c:v>
                </c:pt>
                <c:pt idx="336">
                  <c:v>12142.578600000001</c:v>
                </c:pt>
                <c:pt idx="337">
                  <c:v>13937.666499999999</c:v>
                </c:pt>
                <c:pt idx="338">
                  <c:v>41919.097000000002</c:v>
                </c:pt>
                <c:pt idx="339">
                  <c:v>8232.6388000000006</c:v>
                </c:pt>
                <c:pt idx="340">
                  <c:v>18955.220170000001</c:v>
                </c:pt>
                <c:pt idx="341">
                  <c:v>13352.0998</c:v>
                </c:pt>
                <c:pt idx="342">
                  <c:v>13217.094499999999</c:v>
                </c:pt>
                <c:pt idx="343">
                  <c:v>13981.850350000001</c:v>
                </c:pt>
                <c:pt idx="344">
                  <c:v>10977.2063</c:v>
                </c:pt>
                <c:pt idx="345">
                  <c:v>6184.2993999999999</c:v>
                </c:pt>
                <c:pt idx="346">
                  <c:v>4889.9994999999999</c:v>
                </c:pt>
                <c:pt idx="347">
                  <c:v>8334.4575499999992</c:v>
                </c:pt>
                <c:pt idx="348">
                  <c:v>5478.0367999999999</c:v>
                </c:pt>
                <c:pt idx="349">
                  <c:v>1635.7336499999999</c:v>
                </c:pt>
                <c:pt idx="350">
                  <c:v>11830.6072</c:v>
                </c:pt>
                <c:pt idx="351">
                  <c:v>8932.0840000000007</c:v>
                </c:pt>
                <c:pt idx="352">
                  <c:v>3554.203</c:v>
                </c:pt>
                <c:pt idx="353">
                  <c:v>12404.8791</c:v>
                </c:pt>
                <c:pt idx="354">
                  <c:v>14133.03775</c:v>
                </c:pt>
                <c:pt idx="355">
                  <c:v>24603.04837</c:v>
                </c:pt>
                <c:pt idx="356">
                  <c:v>8944.1151000000009</c:v>
                </c:pt>
                <c:pt idx="357">
                  <c:v>9620.3307000000004</c:v>
                </c:pt>
                <c:pt idx="358">
                  <c:v>1837.2819</c:v>
                </c:pt>
                <c:pt idx="359">
                  <c:v>1607.5101</c:v>
                </c:pt>
                <c:pt idx="360">
                  <c:v>10043.249</c:v>
                </c:pt>
                <c:pt idx="361">
                  <c:v>4751.07</c:v>
                </c:pt>
                <c:pt idx="362">
                  <c:v>13844.505999999999</c:v>
                </c:pt>
                <c:pt idx="363">
                  <c:v>2597.779</c:v>
                </c:pt>
                <c:pt idx="364">
                  <c:v>3180.5101</c:v>
                </c:pt>
                <c:pt idx="365">
                  <c:v>9778.3472000000002</c:v>
                </c:pt>
                <c:pt idx="366">
                  <c:v>13430.264999999999</c:v>
                </c:pt>
                <c:pt idx="367">
                  <c:v>8017.0611500000005</c:v>
                </c:pt>
                <c:pt idx="368">
                  <c:v>8116.2688500000004</c:v>
                </c:pt>
                <c:pt idx="369">
                  <c:v>3481.8679999999999</c:v>
                </c:pt>
                <c:pt idx="370">
                  <c:v>13415.0381</c:v>
                </c:pt>
                <c:pt idx="371">
                  <c:v>12029.286700000001</c:v>
                </c:pt>
                <c:pt idx="372">
                  <c:v>7639.4174499999999</c:v>
                </c:pt>
                <c:pt idx="373">
                  <c:v>36085.218999999997</c:v>
                </c:pt>
                <c:pt idx="374">
                  <c:v>1391.5287000000001</c:v>
                </c:pt>
                <c:pt idx="375">
                  <c:v>18033.9679</c:v>
                </c:pt>
                <c:pt idx="376">
                  <c:v>21659.930100000001</c:v>
                </c:pt>
                <c:pt idx="377">
                  <c:v>38126.246500000001</c:v>
                </c:pt>
                <c:pt idx="378">
                  <c:v>16455.707849999999</c:v>
                </c:pt>
                <c:pt idx="379">
                  <c:v>27000.98473</c:v>
                </c:pt>
                <c:pt idx="380">
                  <c:v>15006.579449999999</c:v>
                </c:pt>
                <c:pt idx="381">
                  <c:v>42303.692150000003</c:v>
                </c:pt>
                <c:pt idx="382">
                  <c:v>20781.48892</c:v>
                </c:pt>
                <c:pt idx="383">
                  <c:v>5846.9175999999998</c:v>
                </c:pt>
                <c:pt idx="384">
                  <c:v>8302.5356499999998</c:v>
                </c:pt>
                <c:pt idx="385">
                  <c:v>1261.8589999999999</c:v>
                </c:pt>
                <c:pt idx="386">
                  <c:v>11856.4115</c:v>
                </c:pt>
                <c:pt idx="387">
                  <c:v>30284.642940000002</c:v>
                </c:pt>
                <c:pt idx="388">
                  <c:v>3176.8159000000001</c:v>
                </c:pt>
                <c:pt idx="389">
                  <c:v>4618.0798999999997</c:v>
                </c:pt>
                <c:pt idx="390">
                  <c:v>10736.87075</c:v>
                </c:pt>
                <c:pt idx="391">
                  <c:v>2138.0707000000002</c:v>
                </c:pt>
                <c:pt idx="392">
                  <c:v>8964.0605500000001</c:v>
                </c:pt>
                <c:pt idx="393">
                  <c:v>9290.1394999999993</c:v>
                </c:pt>
                <c:pt idx="394">
                  <c:v>9411.0049999999992</c:v>
                </c:pt>
                <c:pt idx="395">
                  <c:v>7526.7064499999997</c:v>
                </c:pt>
                <c:pt idx="396">
                  <c:v>8522.0030000000006</c:v>
                </c:pt>
                <c:pt idx="397">
                  <c:v>16586.49771</c:v>
                </c:pt>
                <c:pt idx="398">
                  <c:v>14988.432000000001</c:v>
                </c:pt>
                <c:pt idx="399">
                  <c:v>1631.6683</c:v>
                </c:pt>
                <c:pt idx="400">
                  <c:v>9264.7970000000005</c:v>
                </c:pt>
                <c:pt idx="401">
                  <c:v>8083.9197999999997</c:v>
                </c:pt>
                <c:pt idx="402">
                  <c:v>14692.66935</c:v>
                </c:pt>
                <c:pt idx="403">
                  <c:v>10269.459999999999</c:v>
                </c:pt>
                <c:pt idx="404">
                  <c:v>3260.1990000000001</c:v>
                </c:pt>
                <c:pt idx="405">
                  <c:v>11396.9002</c:v>
                </c:pt>
                <c:pt idx="406">
                  <c:v>4185.0978999999998</c:v>
                </c:pt>
                <c:pt idx="407">
                  <c:v>8539.6710000000003</c:v>
                </c:pt>
                <c:pt idx="408">
                  <c:v>6652.5288</c:v>
                </c:pt>
                <c:pt idx="409">
                  <c:v>4074.4537</c:v>
                </c:pt>
                <c:pt idx="410">
                  <c:v>1621.3402000000001</c:v>
                </c:pt>
                <c:pt idx="411">
                  <c:v>19594.809649999999</c:v>
                </c:pt>
                <c:pt idx="412">
                  <c:v>14455.644050000001</c:v>
                </c:pt>
                <c:pt idx="413">
                  <c:v>5080.0959999999995</c:v>
                </c:pt>
                <c:pt idx="414">
                  <c:v>2134.9014999999999</c:v>
                </c:pt>
                <c:pt idx="415">
                  <c:v>7345.7266</c:v>
                </c:pt>
                <c:pt idx="416">
                  <c:v>9140.9509999999991</c:v>
                </c:pt>
                <c:pt idx="417">
                  <c:v>18608.261999999999</c:v>
                </c:pt>
                <c:pt idx="418">
                  <c:v>14418.2804</c:v>
                </c:pt>
                <c:pt idx="419">
                  <c:v>28950.4692</c:v>
                </c:pt>
                <c:pt idx="420">
                  <c:v>46889.261200000001</c:v>
                </c:pt>
                <c:pt idx="421">
                  <c:v>46599.108399999997</c:v>
                </c:pt>
                <c:pt idx="422">
                  <c:v>39125.332249999999</c:v>
                </c:pt>
                <c:pt idx="423">
                  <c:v>2727.3951000000002</c:v>
                </c:pt>
                <c:pt idx="424">
                  <c:v>8968.33</c:v>
                </c:pt>
                <c:pt idx="425">
                  <c:v>9788.8659000000007</c:v>
                </c:pt>
                <c:pt idx="426">
                  <c:v>6555.07035</c:v>
                </c:pt>
                <c:pt idx="427">
                  <c:v>7323.7348190000002</c:v>
                </c:pt>
                <c:pt idx="428">
                  <c:v>3167.4558499999998</c:v>
                </c:pt>
                <c:pt idx="429">
                  <c:v>18804.752400000001</c:v>
                </c:pt>
                <c:pt idx="430">
                  <c:v>23082.955330000001</c:v>
                </c:pt>
                <c:pt idx="431">
                  <c:v>4906.4096499999996</c:v>
                </c:pt>
                <c:pt idx="432">
                  <c:v>5969.723</c:v>
                </c:pt>
                <c:pt idx="433">
                  <c:v>12638.195</c:v>
                </c:pt>
                <c:pt idx="434">
                  <c:v>4243.5900499999998</c:v>
                </c:pt>
                <c:pt idx="435">
                  <c:v>13919.822899999999</c:v>
                </c:pt>
                <c:pt idx="436">
                  <c:v>2254.7966999999999</c:v>
                </c:pt>
                <c:pt idx="437">
                  <c:v>5926.8459999999995</c:v>
                </c:pt>
                <c:pt idx="438">
                  <c:v>12592.5345</c:v>
                </c:pt>
                <c:pt idx="439">
                  <c:v>2897.3235</c:v>
                </c:pt>
                <c:pt idx="440">
                  <c:v>4738.2682000000004</c:v>
                </c:pt>
                <c:pt idx="441">
                  <c:v>37079.372000000003</c:v>
                </c:pt>
                <c:pt idx="442">
                  <c:v>1149.3959</c:v>
                </c:pt>
                <c:pt idx="443">
                  <c:v>28287.897659999999</c:v>
                </c:pt>
                <c:pt idx="444">
                  <c:v>26109.32905</c:v>
                </c:pt>
                <c:pt idx="445">
                  <c:v>7345.0839999999998</c:v>
                </c:pt>
                <c:pt idx="446">
                  <c:v>12730.999599999999</c:v>
                </c:pt>
                <c:pt idx="447">
                  <c:v>11454.021500000001</c:v>
                </c:pt>
                <c:pt idx="448">
                  <c:v>5910.9440000000004</c:v>
                </c:pt>
                <c:pt idx="449">
                  <c:v>4762.3289999999997</c:v>
                </c:pt>
                <c:pt idx="450">
                  <c:v>7512.2669999999998</c:v>
                </c:pt>
                <c:pt idx="451">
                  <c:v>4032.2406999999998</c:v>
                </c:pt>
                <c:pt idx="452">
                  <c:v>1969.614</c:v>
                </c:pt>
                <c:pt idx="453">
                  <c:v>1769.5316499999999</c:v>
                </c:pt>
                <c:pt idx="454">
                  <c:v>4686.3887000000004</c:v>
                </c:pt>
                <c:pt idx="455">
                  <c:v>21797.000400000001</c:v>
                </c:pt>
                <c:pt idx="456">
                  <c:v>11881.9696</c:v>
                </c:pt>
                <c:pt idx="457">
                  <c:v>11840.77505</c:v>
                </c:pt>
                <c:pt idx="458">
                  <c:v>10601.412</c:v>
                </c:pt>
                <c:pt idx="459">
                  <c:v>7682.67</c:v>
                </c:pt>
                <c:pt idx="460">
                  <c:v>10381.4787</c:v>
                </c:pt>
                <c:pt idx="461">
                  <c:v>22144.031999999999</c:v>
                </c:pt>
                <c:pt idx="462">
                  <c:v>15230.324049999999</c:v>
                </c:pt>
                <c:pt idx="463">
                  <c:v>11165.417649999999</c:v>
                </c:pt>
                <c:pt idx="464">
                  <c:v>1632.0362500000001</c:v>
                </c:pt>
                <c:pt idx="465">
                  <c:v>19521.968199999999</c:v>
                </c:pt>
                <c:pt idx="466">
                  <c:v>13224.692999999999</c:v>
                </c:pt>
                <c:pt idx="467">
                  <c:v>12643.3778</c:v>
                </c:pt>
                <c:pt idx="468">
                  <c:v>23288.928400000001</c:v>
                </c:pt>
                <c:pt idx="469">
                  <c:v>2201.0971</c:v>
                </c:pt>
                <c:pt idx="470">
                  <c:v>2497.0383000000002</c:v>
                </c:pt>
                <c:pt idx="471">
                  <c:v>2203.4718499999999</c:v>
                </c:pt>
                <c:pt idx="472">
                  <c:v>1744.4649999999999</c:v>
                </c:pt>
                <c:pt idx="473">
                  <c:v>20878.78443</c:v>
                </c:pt>
                <c:pt idx="474">
                  <c:v>25382.296999999999</c:v>
                </c:pt>
                <c:pt idx="475">
                  <c:v>28868.6639</c:v>
                </c:pt>
                <c:pt idx="476">
                  <c:v>35147.528480000001</c:v>
                </c:pt>
                <c:pt idx="477">
                  <c:v>2534.3937500000002</c:v>
                </c:pt>
                <c:pt idx="478">
                  <c:v>1534.3045</c:v>
                </c:pt>
                <c:pt idx="479">
                  <c:v>1824.2854</c:v>
                </c:pt>
                <c:pt idx="480">
                  <c:v>15555.188749999999</c:v>
                </c:pt>
                <c:pt idx="481">
                  <c:v>9304.7019</c:v>
                </c:pt>
                <c:pt idx="482">
                  <c:v>1622.1885</c:v>
                </c:pt>
                <c:pt idx="483">
                  <c:v>9880.0679999999993</c:v>
                </c:pt>
                <c:pt idx="484">
                  <c:v>9563.0290000000005</c:v>
                </c:pt>
                <c:pt idx="485">
                  <c:v>4347.0233500000004</c:v>
                </c:pt>
                <c:pt idx="486">
                  <c:v>12475.3513</c:v>
                </c:pt>
                <c:pt idx="487">
                  <c:v>1253.9359999999999</c:v>
                </c:pt>
                <c:pt idx="488">
                  <c:v>48885.135609999998</c:v>
                </c:pt>
                <c:pt idx="489">
                  <c:v>10461.9794</c:v>
                </c:pt>
                <c:pt idx="490">
                  <c:v>1748.7739999999999</c:v>
                </c:pt>
                <c:pt idx="491">
                  <c:v>24513.091260000001</c:v>
                </c:pt>
                <c:pt idx="492">
                  <c:v>2196.4731999999999</c:v>
                </c:pt>
                <c:pt idx="493">
                  <c:v>12574.049000000001</c:v>
                </c:pt>
                <c:pt idx="494">
                  <c:v>17942.106</c:v>
                </c:pt>
                <c:pt idx="495">
                  <c:v>1967.0227</c:v>
                </c:pt>
                <c:pt idx="496">
                  <c:v>4931.6469999999999</c:v>
                </c:pt>
                <c:pt idx="497">
                  <c:v>8027.9679999999998</c:v>
                </c:pt>
                <c:pt idx="498">
                  <c:v>8211.1002000000008</c:v>
                </c:pt>
                <c:pt idx="499">
                  <c:v>13470.86</c:v>
                </c:pt>
                <c:pt idx="500">
                  <c:v>36197.699000000001</c:v>
                </c:pt>
                <c:pt idx="501">
                  <c:v>6837.3687</c:v>
                </c:pt>
                <c:pt idx="502">
                  <c:v>22218.1149</c:v>
                </c:pt>
                <c:pt idx="503">
                  <c:v>32548.340499999998</c:v>
                </c:pt>
                <c:pt idx="504">
                  <c:v>5974.3846999999996</c:v>
                </c:pt>
                <c:pt idx="505">
                  <c:v>6796.8632500000003</c:v>
                </c:pt>
                <c:pt idx="506">
                  <c:v>2643.2685000000001</c:v>
                </c:pt>
                <c:pt idx="507">
                  <c:v>3077.0954999999999</c:v>
                </c:pt>
                <c:pt idx="508">
                  <c:v>3044.2132999999999</c:v>
                </c:pt>
                <c:pt idx="509">
                  <c:v>11455.28</c:v>
                </c:pt>
                <c:pt idx="510">
                  <c:v>11763.000899999999</c:v>
                </c:pt>
                <c:pt idx="511">
                  <c:v>2498.4144000000001</c:v>
                </c:pt>
                <c:pt idx="512">
                  <c:v>9361.3268000000007</c:v>
                </c:pt>
                <c:pt idx="513">
                  <c:v>1256.299</c:v>
                </c:pt>
                <c:pt idx="514">
                  <c:v>21082.16</c:v>
                </c:pt>
                <c:pt idx="515">
                  <c:v>11362.754999999999</c:v>
                </c:pt>
                <c:pt idx="516">
                  <c:v>27724.28875</c:v>
                </c:pt>
                <c:pt idx="517">
                  <c:v>8413.4630500000003</c:v>
                </c:pt>
                <c:pt idx="518">
                  <c:v>5240.7650000000003</c:v>
                </c:pt>
                <c:pt idx="519">
                  <c:v>3857.7592500000001</c:v>
                </c:pt>
                <c:pt idx="520">
                  <c:v>25656.575260000001</c:v>
                </c:pt>
                <c:pt idx="521">
                  <c:v>3994.1777999999999</c:v>
                </c:pt>
                <c:pt idx="522">
                  <c:v>9866.3048500000004</c:v>
                </c:pt>
                <c:pt idx="523">
                  <c:v>5397.6166999999996</c:v>
                </c:pt>
                <c:pt idx="524">
                  <c:v>38245.593269999998</c:v>
                </c:pt>
                <c:pt idx="525">
                  <c:v>11482.63485</c:v>
                </c:pt>
                <c:pt idx="526">
                  <c:v>24059.680189999999</c:v>
                </c:pt>
                <c:pt idx="527">
                  <c:v>9861.0249999999996</c:v>
                </c:pt>
                <c:pt idx="528">
                  <c:v>8342.9087500000005</c:v>
                </c:pt>
                <c:pt idx="529">
                  <c:v>1708.0014000000001</c:v>
                </c:pt>
                <c:pt idx="530">
                  <c:v>48675.517699999997</c:v>
                </c:pt>
                <c:pt idx="531">
                  <c:v>14043.476699999999</c:v>
                </c:pt>
                <c:pt idx="532">
                  <c:v>12925.886</c:v>
                </c:pt>
                <c:pt idx="533">
                  <c:v>19214.705529999999</c:v>
                </c:pt>
                <c:pt idx="534">
                  <c:v>13831.1152</c:v>
                </c:pt>
                <c:pt idx="535">
                  <c:v>6067.1267500000004</c:v>
                </c:pt>
                <c:pt idx="536">
                  <c:v>5972.3779999999997</c:v>
                </c:pt>
                <c:pt idx="537">
                  <c:v>8825.0859999999993</c:v>
                </c:pt>
                <c:pt idx="538">
                  <c:v>8233.0974999999999</c:v>
                </c:pt>
                <c:pt idx="539">
                  <c:v>27346.04207</c:v>
                </c:pt>
                <c:pt idx="540">
                  <c:v>6196.4480000000003</c:v>
                </c:pt>
                <c:pt idx="541">
                  <c:v>3056.3881000000001</c:v>
                </c:pt>
                <c:pt idx="542">
                  <c:v>13887.204</c:v>
                </c:pt>
                <c:pt idx="543">
                  <c:v>63770.428010000003</c:v>
                </c:pt>
                <c:pt idx="544">
                  <c:v>10231.499900000001</c:v>
                </c:pt>
                <c:pt idx="545">
                  <c:v>23807.240600000001</c:v>
                </c:pt>
                <c:pt idx="546">
                  <c:v>3268.84665</c:v>
                </c:pt>
                <c:pt idx="547">
                  <c:v>11538.421</c:v>
                </c:pt>
                <c:pt idx="548">
                  <c:v>3213.6220499999999</c:v>
                </c:pt>
                <c:pt idx="549">
                  <c:v>45863.205000000002</c:v>
                </c:pt>
                <c:pt idx="550">
                  <c:v>13390.558999999999</c:v>
                </c:pt>
                <c:pt idx="551">
                  <c:v>3972.9247</c:v>
                </c:pt>
                <c:pt idx="552">
                  <c:v>12957.118</c:v>
                </c:pt>
                <c:pt idx="553">
                  <c:v>11187.6567</c:v>
                </c:pt>
                <c:pt idx="554">
                  <c:v>17878.900679999999</c:v>
                </c:pt>
                <c:pt idx="555">
                  <c:v>3847.674</c:v>
                </c:pt>
                <c:pt idx="556">
                  <c:v>8334.5895999999993</c:v>
                </c:pt>
                <c:pt idx="557">
                  <c:v>3935.1799000000001</c:v>
                </c:pt>
                <c:pt idx="558">
                  <c:v>39983.425949999997</c:v>
                </c:pt>
                <c:pt idx="559">
                  <c:v>1646.4296999999999</c:v>
                </c:pt>
                <c:pt idx="560">
                  <c:v>9193.8384999999998</c:v>
                </c:pt>
                <c:pt idx="561">
                  <c:v>10923.933199999999</c:v>
                </c:pt>
                <c:pt idx="562">
                  <c:v>2494.0219999999999</c:v>
                </c:pt>
                <c:pt idx="563">
                  <c:v>9058.7302999999993</c:v>
                </c:pt>
                <c:pt idx="564">
                  <c:v>2801.2588000000001</c:v>
                </c:pt>
                <c:pt idx="565">
                  <c:v>2128.4310500000001</c:v>
                </c:pt>
                <c:pt idx="566">
                  <c:v>6373.55735</c:v>
                </c:pt>
                <c:pt idx="567">
                  <c:v>7256.7231000000002</c:v>
                </c:pt>
                <c:pt idx="568">
                  <c:v>11552.904</c:v>
                </c:pt>
                <c:pt idx="569">
                  <c:v>45702.022349999999</c:v>
                </c:pt>
                <c:pt idx="570">
                  <c:v>3761.2919999999999</c:v>
                </c:pt>
                <c:pt idx="571">
                  <c:v>2219.4450999999999</c:v>
                </c:pt>
                <c:pt idx="572">
                  <c:v>4753.6368000000002</c:v>
                </c:pt>
                <c:pt idx="573">
                  <c:v>31620.001059999999</c:v>
                </c:pt>
                <c:pt idx="574">
                  <c:v>13224.057049999999</c:v>
                </c:pt>
                <c:pt idx="575">
                  <c:v>12222.898300000001</c:v>
                </c:pt>
                <c:pt idx="576">
                  <c:v>1664.9996000000001</c:v>
                </c:pt>
                <c:pt idx="577">
                  <c:v>58571.074480000003</c:v>
                </c:pt>
                <c:pt idx="578">
                  <c:v>9724.5300000000007</c:v>
                </c:pt>
                <c:pt idx="579">
                  <c:v>3206.4913499999998</c:v>
                </c:pt>
                <c:pt idx="580">
                  <c:v>12913.992399999999</c:v>
                </c:pt>
                <c:pt idx="581">
                  <c:v>1639.5631000000001</c:v>
                </c:pt>
                <c:pt idx="582">
                  <c:v>6356.2707</c:v>
                </c:pt>
                <c:pt idx="583">
                  <c:v>17626.239509999999</c:v>
                </c:pt>
                <c:pt idx="584">
                  <c:v>1242.816</c:v>
                </c:pt>
                <c:pt idx="585">
                  <c:v>4779.6022999999996</c:v>
                </c:pt>
                <c:pt idx="586">
                  <c:v>3861.2096499999998</c:v>
                </c:pt>
                <c:pt idx="587">
                  <c:v>43943.876100000001</c:v>
                </c:pt>
                <c:pt idx="588">
                  <c:v>13635.6379</c:v>
                </c:pt>
                <c:pt idx="589">
                  <c:v>5976.8311000000003</c:v>
                </c:pt>
                <c:pt idx="590">
                  <c:v>11842.441999999999</c:v>
                </c:pt>
                <c:pt idx="591">
                  <c:v>8428.0692999999992</c:v>
                </c:pt>
                <c:pt idx="592">
                  <c:v>2566.4706999999999</c:v>
                </c:pt>
                <c:pt idx="593">
                  <c:v>15359.104499999999</c:v>
                </c:pt>
                <c:pt idx="594">
                  <c:v>5709.1643999999997</c:v>
                </c:pt>
                <c:pt idx="595">
                  <c:v>8823.9857499999998</c:v>
                </c:pt>
                <c:pt idx="596">
                  <c:v>7640.3091999999997</c:v>
                </c:pt>
                <c:pt idx="597">
                  <c:v>5594.8455000000004</c:v>
                </c:pt>
                <c:pt idx="598">
                  <c:v>7441.5010000000002</c:v>
                </c:pt>
                <c:pt idx="599">
                  <c:v>33471.971890000001</c:v>
                </c:pt>
                <c:pt idx="600">
                  <c:v>1633.0444</c:v>
                </c:pt>
                <c:pt idx="601">
                  <c:v>9174.1356500000002</c:v>
                </c:pt>
                <c:pt idx="602">
                  <c:v>11070.535</c:v>
                </c:pt>
                <c:pt idx="603">
                  <c:v>16085.127500000001</c:v>
                </c:pt>
                <c:pt idx="604">
                  <c:v>17468.983899999999</c:v>
                </c:pt>
                <c:pt idx="605">
                  <c:v>9283.5619999999999</c:v>
                </c:pt>
                <c:pt idx="606">
                  <c:v>3558.6202499999999</c:v>
                </c:pt>
                <c:pt idx="607">
                  <c:v>25678.778450000002</c:v>
                </c:pt>
                <c:pt idx="608">
                  <c:v>4435.0941999999995</c:v>
                </c:pt>
                <c:pt idx="609">
                  <c:v>39241.442000000003</c:v>
                </c:pt>
                <c:pt idx="610">
                  <c:v>8547.6913000000004</c:v>
                </c:pt>
                <c:pt idx="611">
                  <c:v>6571.5439999999999</c:v>
                </c:pt>
                <c:pt idx="612">
                  <c:v>2207.6974500000001</c:v>
                </c:pt>
                <c:pt idx="613">
                  <c:v>6753.0379999999996</c:v>
                </c:pt>
                <c:pt idx="614">
                  <c:v>1880.07</c:v>
                </c:pt>
                <c:pt idx="615">
                  <c:v>42969.852700000003</c:v>
                </c:pt>
                <c:pt idx="616">
                  <c:v>11658.11505</c:v>
                </c:pt>
                <c:pt idx="617">
                  <c:v>23306.546999999999</c:v>
                </c:pt>
                <c:pt idx="618">
                  <c:v>34439.855900000002</c:v>
                </c:pt>
                <c:pt idx="619">
                  <c:v>10713.644</c:v>
                </c:pt>
                <c:pt idx="620">
                  <c:v>3659.346</c:v>
                </c:pt>
                <c:pt idx="621">
                  <c:v>40182.245999999999</c:v>
                </c:pt>
                <c:pt idx="622">
                  <c:v>9182.17</c:v>
                </c:pt>
                <c:pt idx="623">
                  <c:v>34617.840649999998</c:v>
                </c:pt>
                <c:pt idx="624">
                  <c:v>12129.614149999999</c:v>
                </c:pt>
                <c:pt idx="625">
                  <c:v>3736.4647</c:v>
                </c:pt>
                <c:pt idx="626">
                  <c:v>6748.5911999999998</c:v>
                </c:pt>
                <c:pt idx="627">
                  <c:v>11326.71487</c:v>
                </c:pt>
                <c:pt idx="628">
                  <c:v>11365.951999999999</c:v>
                </c:pt>
                <c:pt idx="629">
                  <c:v>42983.458500000001</c:v>
                </c:pt>
                <c:pt idx="630">
                  <c:v>10085.846</c:v>
                </c:pt>
                <c:pt idx="631">
                  <c:v>1977.8150000000001</c:v>
                </c:pt>
                <c:pt idx="632">
                  <c:v>3366.6696999999999</c:v>
                </c:pt>
                <c:pt idx="633">
                  <c:v>7173.35995</c:v>
                </c:pt>
                <c:pt idx="634">
                  <c:v>9391.3459999999995</c:v>
                </c:pt>
                <c:pt idx="635">
                  <c:v>14410.9321</c:v>
                </c:pt>
                <c:pt idx="636">
                  <c:v>2709.1118999999999</c:v>
                </c:pt>
                <c:pt idx="637">
                  <c:v>24915.046259999999</c:v>
                </c:pt>
                <c:pt idx="638">
                  <c:v>20149.322899999999</c:v>
                </c:pt>
                <c:pt idx="639">
                  <c:v>12949.1554</c:v>
                </c:pt>
                <c:pt idx="640">
                  <c:v>6666.2430000000004</c:v>
                </c:pt>
                <c:pt idx="641">
                  <c:v>32787.458590000002</c:v>
                </c:pt>
                <c:pt idx="642">
                  <c:v>13143.86485</c:v>
                </c:pt>
                <c:pt idx="643">
                  <c:v>4466.6214</c:v>
                </c:pt>
                <c:pt idx="644">
                  <c:v>18806.145469999999</c:v>
                </c:pt>
                <c:pt idx="645">
                  <c:v>10141.136200000001</c:v>
                </c:pt>
                <c:pt idx="646">
                  <c:v>6123.5688</c:v>
                </c:pt>
                <c:pt idx="647">
                  <c:v>8252.2842999999993</c:v>
                </c:pt>
                <c:pt idx="648">
                  <c:v>1712.2270000000001</c:v>
                </c:pt>
                <c:pt idx="649">
                  <c:v>12430.95335</c:v>
                </c:pt>
                <c:pt idx="650">
                  <c:v>9800.8881999999994</c:v>
                </c:pt>
                <c:pt idx="651">
                  <c:v>10579.710999999999</c:v>
                </c:pt>
                <c:pt idx="652">
                  <c:v>8280.6226999999999</c:v>
                </c:pt>
                <c:pt idx="653">
                  <c:v>8527.5319999999992</c:v>
                </c:pt>
                <c:pt idx="654">
                  <c:v>12244.531000000001</c:v>
                </c:pt>
                <c:pt idx="655">
                  <c:v>24667.419000000002</c:v>
                </c:pt>
                <c:pt idx="656">
                  <c:v>3410.3240000000001</c:v>
                </c:pt>
                <c:pt idx="657">
                  <c:v>4058.71245</c:v>
                </c:pt>
                <c:pt idx="658">
                  <c:v>26392.260289999998</c:v>
                </c:pt>
                <c:pt idx="659">
                  <c:v>14394.398150000001</c:v>
                </c:pt>
                <c:pt idx="660">
                  <c:v>6435.6237000000001</c:v>
                </c:pt>
                <c:pt idx="661">
                  <c:v>22192.437109999999</c:v>
                </c:pt>
                <c:pt idx="662">
                  <c:v>5148.5526</c:v>
                </c:pt>
                <c:pt idx="663">
                  <c:v>1136.3994</c:v>
                </c:pt>
                <c:pt idx="664">
                  <c:v>27037.914100000002</c:v>
                </c:pt>
                <c:pt idx="665">
                  <c:v>42560.430399999997</c:v>
                </c:pt>
                <c:pt idx="666">
                  <c:v>8703.4560000000001</c:v>
                </c:pt>
                <c:pt idx="667">
                  <c:v>40003.332249999999</c:v>
                </c:pt>
                <c:pt idx="668">
                  <c:v>45710.207849999999</c:v>
                </c:pt>
                <c:pt idx="669">
                  <c:v>6500.2358999999997</c:v>
                </c:pt>
                <c:pt idx="670">
                  <c:v>4837.5823</c:v>
                </c:pt>
                <c:pt idx="671">
                  <c:v>3943.5954000000002</c:v>
                </c:pt>
                <c:pt idx="672">
                  <c:v>4399.7309999999998</c:v>
                </c:pt>
                <c:pt idx="673">
                  <c:v>6185.3208000000004</c:v>
                </c:pt>
                <c:pt idx="674">
                  <c:v>46200.985099999998</c:v>
                </c:pt>
                <c:pt idx="675">
                  <c:v>7222.7862500000001</c:v>
                </c:pt>
                <c:pt idx="676">
                  <c:v>12485.8009</c:v>
                </c:pt>
                <c:pt idx="677">
                  <c:v>46130.5265</c:v>
                </c:pt>
                <c:pt idx="678">
                  <c:v>12363.547</c:v>
                </c:pt>
                <c:pt idx="679">
                  <c:v>10156.7832</c:v>
                </c:pt>
                <c:pt idx="680">
                  <c:v>2585.2689999999998</c:v>
                </c:pt>
                <c:pt idx="681">
                  <c:v>1242.26</c:v>
                </c:pt>
                <c:pt idx="682">
                  <c:v>40103.89</c:v>
                </c:pt>
                <c:pt idx="683">
                  <c:v>9863.4717999999993</c:v>
                </c:pt>
                <c:pt idx="684">
                  <c:v>4766.0219999999999</c:v>
                </c:pt>
                <c:pt idx="685">
                  <c:v>11244.376899999999</c:v>
                </c:pt>
                <c:pt idx="686">
                  <c:v>7729.6457499999997</c:v>
                </c:pt>
                <c:pt idx="687">
                  <c:v>5438.7491</c:v>
                </c:pt>
                <c:pt idx="688">
                  <c:v>26236.579969999999</c:v>
                </c:pt>
                <c:pt idx="689">
                  <c:v>34806.467700000001</c:v>
                </c:pt>
                <c:pt idx="690">
                  <c:v>2104.1134000000002</c:v>
                </c:pt>
                <c:pt idx="691">
                  <c:v>8068.1850000000004</c:v>
                </c:pt>
                <c:pt idx="692">
                  <c:v>2362.2290499999999</c:v>
                </c:pt>
                <c:pt idx="693">
                  <c:v>2352.9684499999998</c:v>
                </c:pt>
                <c:pt idx="694">
                  <c:v>3577.9989999999998</c:v>
                </c:pt>
                <c:pt idx="695">
                  <c:v>3201.2451500000002</c:v>
                </c:pt>
                <c:pt idx="696">
                  <c:v>29186.482360000002</c:v>
                </c:pt>
                <c:pt idx="697">
                  <c:v>40273.645499999999</c:v>
                </c:pt>
                <c:pt idx="698">
                  <c:v>10976.24575</c:v>
                </c:pt>
                <c:pt idx="699">
                  <c:v>3500.6122999999998</c:v>
                </c:pt>
                <c:pt idx="700">
                  <c:v>2020.5523000000001</c:v>
                </c:pt>
                <c:pt idx="701">
                  <c:v>9541.6955500000004</c:v>
                </c:pt>
                <c:pt idx="702">
                  <c:v>9504.3102999999992</c:v>
                </c:pt>
                <c:pt idx="703">
                  <c:v>5385.3379000000004</c:v>
                </c:pt>
                <c:pt idx="704">
                  <c:v>8930.9345499999999</c:v>
                </c:pt>
                <c:pt idx="705">
                  <c:v>5375.0379999999996</c:v>
                </c:pt>
                <c:pt idx="706">
                  <c:v>44400.4064</c:v>
                </c:pt>
                <c:pt idx="707">
                  <c:v>10264.4421</c:v>
                </c:pt>
                <c:pt idx="708">
                  <c:v>6113.2310500000003</c:v>
                </c:pt>
                <c:pt idx="709">
                  <c:v>5469.0065999999997</c:v>
                </c:pt>
                <c:pt idx="710">
                  <c:v>1727.54</c:v>
                </c:pt>
                <c:pt idx="711">
                  <c:v>10107.220600000001</c:v>
                </c:pt>
                <c:pt idx="712">
                  <c:v>8310.8391499999998</c:v>
                </c:pt>
                <c:pt idx="713">
                  <c:v>1984.4532999999999</c:v>
                </c:pt>
                <c:pt idx="714">
                  <c:v>2457.502</c:v>
                </c:pt>
                <c:pt idx="715">
                  <c:v>12146.971</c:v>
                </c:pt>
                <c:pt idx="716">
                  <c:v>9566.9909000000007</c:v>
                </c:pt>
                <c:pt idx="717">
                  <c:v>13112.604799999999</c:v>
                </c:pt>
                <c:pt idx="718">
                  <c:v>10848.1343</c:v>
                </c:pt>
                <c:pt idx="719">
                  <c:v>12231.613600000001</c:v>
                </c:pt>
                <c:pt idx="720">
                  <c:v>9875.6803999999993</c:v>
                </c:pt>
                <c:pt idx="721">
                  <c:v>11264.540999999999</c:v>
                </c:pt>
                <c:pt idx="722">
                  <c:v>12979.358</c:v>
                </c:pt>
                <c:pt idx="723">
                  <c:v>1263.249</c:v>
                </c:pt>
                <c:pt idx="724">
                  <c:v>10106.134249999999</c:v>
                </c:pt>
                <c:pt idx="725">
                  <c:v>40932.429499999998</c:v>
                </c:pt>
                <c:pt idx="726">
                  <c:v>6664.68595</c:v>
                </c:pt>
                <c:pt idx="727">
                  <c:v>16657.71745</c:v>
                </c:pt>
                <c:pt idx="728">
                  <c:v>2217.6012000000001</c:v>
                </c:pt>
                <c:pt idx="729">
                  <c:v>6781.3541999999998</c:v>
                </c:pt>
                <c:pt idx="730">
                  <c:v>19361.998800000001</c:v>
                </c:pt>
                <c:pt idx="731">
                  <c:v>10065.413</c:v>
                </c:pt>
                <c:pt idx="732">
                  <c:v>4234.9269999999997</c:v>
                </c:pt>
                <c:pt idx="733">
                  <c:v>9447.2503500000003</c:v>
                </c:pt>
                <c:pt idx="734">
                  <c:v>14007.222</c:v>
                </c:pt>
                <c:pt idx="735">
                  <c:v>9583.8932999999997</c:v>
                </c:pt>
                <c:pt idx="736">
                  <c:v>40419.019099999998</c:v>
                </c:pt>
                <c:pt idx="737">
                  <c:v>3484.3310000000001</c:v>
                </c:pt>
                <c:pt idx="738">
                  <c:v>36189.101699999999</c:v>
                </c:pt>
                <c:pt idx="739">
                  <c:v>44585.455869999998</c:v>
                </c:pt>
                <c:pt idx="740">
                  <c:v>8604.4836500000001</c:v>
                </c:pt>
                <c:pt idx="741">
                  <c:v>18246.495500000001</c:v>
                </c:pt>
                <c:pt idx="742">
                  <c:v>43254.417950000003</c:v>
                </c:pt>
                <c:pt idx="743">
                  <c:v>3757.8447999999999</c:v>
                </c:pt>
                <c:pt idx="744">
                  <c:v>8827.2098999999998</c:v>
                </c:pt>
                <c:pt idx="745">
                  <c:v>9910.3598500000007</c:v>
                </c:pt>
                <c:pt idx="746">
                  <c:v>11737.848840000001</c:v>
                </c:pt>
                <c:pt idx="747">
                  <c:v>1627.2824499999999</c:v>
                </c:pt>
                <c:pt idx="748">
                  <c:v>8556.9069999999992</c:v>
                </c:pt>
                <c:pt idx="749">
                  <c:v>3062.5082499999999</c:v>
                </c:pt>
                <c:pt idx="750">
                  <c:v>19539.242999999999</c:v>
                </c:pt>
                <c:pt idx="751">
                  <c:v>1906.35825</c:v>
                </c:pt>
                <c:pt idx="752">
                  <c:v>14210.53595</c:v>
                </c:pt>
                <c:pt idx="753">
                  <c:v>11833.782300000001</c:v>
                </c:pt>
                <c:pt idx="754">
                  <c:v>17128.426080000001</c:v>
                </c:pt>
                <c:pt idx="755">
                  <c:v>5031.26955</c:v>
                </c:pt>
                <c:pt idx="756">
                  <c:v>7985.8149999999996</c:v>
                </c:pt>
                <c:pt idx="757">
                  <c:v>23065.420699999999</c:v>
                </c:pt>
                <c:pt idx="758">
                  <c:v>5428.7277000000004</c:v>
                </c:pt>
                <c:pt idx="759">
                  <c:v>36307.798300000002</c:v>
                </c:pt>
                <c:pt idx="760">
                  <c:v>3925.7582000000002</c:v>
                </c:pt>
                <c:pt idx="761">
                  <c:v>2416.9549999999999</c:v>
                </c:pt>
                <c:pt idx="762">
                  <c:v>19040.876</c:v>
                </c:pt>
                <c:pt idx="763">
                  <c:v>3070.8087</c:v>
                </c:pt>
                <c:pt idx="764">
                  <c:v>9095.0682500000003</c:v>
                </c:pt>
                <c:pt idx="765">
                  <c:v>11842.623750000001</c:v>
                </c:pt>
                <c:pt idx="766">
                  <c:v>8062.7640000000001</c:v>
                </c:pt>
                <c:pt idx="767">
                  <c:v>7050.6419999999998</c:v>
                </c:pt>
                <c:pt idx="768">
                  <c:v>14319.031000000001</c:v>
                </c:pt>
                <c:pt idx="769">
                  <c:v>6933.2422500000002</c:v>
                </c:pt>
                <c:pt idx="770">
                  <c:v>27941.28758</c:v>
                </c:pt>
                <c:pt idx="771">
                  <c:v>11150.78</c:v>
                </c:pt>
                <c:pt idx="772">
                  <c:v>12797.20962</c:v>
                </c:pt>
                <c:pt idx="773">
                  <c:v>17748.5062</c:v>
                </c:pt>
                <c:pt idx="774">
                  <c:v>7261.741</c:v>
                </c:pt>
                <c:pt idx="775">
                  <c:v>10560.4917</c:v>
                </c:pt>
                <c:pt idx="776">
                  <c:v>6986.6970000000001</c:v>
                </c:pt>
                <c:pt idx="777">
                  <c:v>7448.4039499999999</c:v>
                </c:pt>
                <c:pt idx="778">
                  <c:v>5934.3797999999997</c:v>
                </c:pt>
                <c:pt idx="779">
                  <c:v>9869.8101999999999</c:v>
                </c:pt>
                <c:pt idx="780">
                  <c:v>18259.216</c:v>
                </c:pt>
                <c:pt idx="781">
                  <c:v>1146.7965999999999</c:v>
                </c:pt>
                <c:pt idx="782">
                  <c:v>9386.1612999999998</c:v>
                </c:pt>
                <c:pt idx="783">
                  <c:v>24520.263999999999</c:v>
                </c:pt>
                <c:pt idx="784">
                  <c:v>4350.5144</c:v>
                </c:pt>
                <c:pt idx="785">
                  <c:v>6414.1779999999999</c:v>
                </c:pt>
                <c:pt idx="786">
                  <c:v>12741.167450000001</c:v>
                </c:pt>
                <c:pt idx="787">
                  <c:v>1917.3184000000001</c:v>
                </c:pt>
                <c:pt idx="788">
                  <c:v>5209.5788499999999</c:v>
                </c:pt>
                <c:pt idx="789">
                  <c:v>13457.960800000001</c:v>
                </c:pt>
                <c:pt idx="790">
                  <c:v>5662.2250000000004</c:v>
                </c:pt>
                <c:pt idx="791">
                  <c:v>1252.4069999999999</c:v>
                </c:pt>
                <c:pt idx="792">
                  <c:v>2731.9122000000002</c:v>
                </c:pt>
                <c:pt idx="793">
                  <c:v>21195.817999999999</c:v>
                </c:pt>
                <c:pt idx="794">
                  <c:v>7209.4917999999998</c:v>
                </c:pt>
                <c:pt idx="795">
                  <c:v>18310.741999999998</c:v>
                </c:pt>
                <c:pt idx="796">
                  <c:v>4266.1657999999998</c:v>
                </c:pt>
                <c:pt idx="797">
                  <c:v>4719.52405</c:v>
                </c:pt>
                <c:pt idx="798">
                  <c:v>11848.141</c:v>
                </c:pt>
                <c:pt idx="799">
                  <c:v>17904.527050000001</c:v>
                </c:pt>
                <c:pt idx="800">
                  <c:v>7046.7222000000002</c:v>
                </c:pt>
                <c:pt idx="801">
                  <c:v>14313.846299999999</c:v>
                </c:pt>
                <c:pt idx="802">
                  <c:v>2103.08</c:v>
                </c:pt>
                <c:pt idx="803">
                  <c:v>38792.685599999997</c:v>
                </c:pt>
                <c:pt idx="804">
                  <c:v>1815.8759</c:v>
                </c:pt>
                <c:pt idx="805">
                  <c:v>7731.8578500000003</c:v>
                </c:pt>
                <c:pt idx="806">
                  <c:v>28476.734990000001</c:v>
                </c:pt>
                <c:pt idx="807">
                  <c:v>2136.8822500000001</c:v>
                </c:pt>
                <c:pt idx="808">
                  <c:v>1131.5065999999999</c:v>
                </c:pt>
                <c:pt idx="809">
                  <c:v>3309.7926000000002</c:v>
                </c:pt>
                <c:pt idx="810">
                  <c:v>9414.92</c:v>
                </c:pt>
                <c:pt idx="811">
                  <c:v>6360.9935999999998</c:v>
                </c:pt>
                <c:pt idx="812">
                  <c:v>11013.7119</c:v>
                </c:pt>
                <c:pt idx="813">
                  <c:v>4428.8878500000001</c:v>
                </c:pt>
                <c:pt idx="814">
                  <c:v>5584.3056999999999</c:v>
                </c:pt>
                <c:pt idx="815">
                  <c:v>1877.9294</c:v>
                </c:pt>
                <c:pt idx="816">
                  <c:v>2842.7607499999999</c:v>
                </c:pt>
                <c:pt idx="817">
                  <c:v>3597.596</c:v>
                </c:pt>
                <c:pt idx="818">
                  <c:v>23401.30575</c:v>
                </c:pt>
                <c:pt idx="819">
                  <c:v>55135.402090000003</c:v>
                </c:pt>
                <c:pt idx="820">
                  <c:v>7445.9179999999997</c:v>
                </c:pt>
                <c:pt idx="821">
                  <c:v>2680.9493000000002</c:v>
                </c:pt>
                <c:pt idx="822">
                  <c:v>1621.8827000000001</c:v>
                </c:pt>
                <c:pt idx="823">
                  <c:v>8219.2039000000004</c:v>
                </c:pt>
                <c:pt idx="824">
                  <c:v>12523.604799999999</c:v>
                </c:pt>
                <c:pt idx="825">
                  <c:v>16069.08475</c:v>
                </c:pt>
                <c:pt idx="826">
                  <c:v>43813.866099999999</c:v>
                </c:pt>
                <c:pt idx="827">
                  <c:v>20773.62775</c:v>
                </c:pt>
                <c:pt idx="828">
                  <c:v>39597.407200000001</c:v>
                </c:pt>
                <c:pt idx="829">
                  <c:v>6117.4944999999998</c:v>
                </c:pt>
                <c:pt idx="830">
                  <c:v>13393.755999999999</c:v>
                </c:pt>
                <c:pt idx="831">
                  <c:v>5266.3656000000001</c:v>
                </c:pt>
                <c:pt idx="832">
                  <c:v>4719.7365499999996</c:v>
                </c:pt>
                <c:pt idx="833">
                  <c:v>11743.9341</c:v>
                </c:pt>
                <c:pt idx="834">
                  <c:v>5377.4578000000001</c:v>
                </c:pt>
                <c:pt idx="835">
                  <c:v>7160.3302999999996</c:v>
                </c:pt>
                <c:pt idx="836">
                  <c:v>4402.2330000000002</c:v>
                </c:pt>
                <c:pt idx="837">
                  <c:v>11657.7189</c:v>
                </c:pt>
                <c:pt idx="838">
                  <c:v>6402.2913500000004</c:v>
                </c:pt>
                <c:pt idx="839">
                  <c:v>12622.1795</c:v>
                </c:pt>
                <c:pt idx="840">
                  <c:v>1526.3119999999999</c:v>
                </c:pt>
                <c:pt idx="841">
                  <c:v>12323.936</c:v>
                </c:pt>
                <c:pt idx="842">
                  <c:v>36021.011200000001</c:v>
                </c:pt>
                <c:pt idx="843">
                  <c:v>27533.912899999999</c:v>
                </c:pt>
                <c:pt idx="844">
                  <c:v>10072.055050000001</c:v>
                </c:pt>
                <c:pt idx="845">
                  <c:v>45008.955499999996</c:v>
                </c:pt>
                <c:pt idx="846">
                  <c:v>9872.7009999999991</c:v>
                </c:pt>
                <c:pt idx="847">
                  <c:v>2438.0551999999998</c:v>
                </c:pt>
                <c:pt idx="848">
                  <c:v>2974.1260000000002</c:v>
                </c:pt>
                <c:pt idx="849">
                  <c:v>10601.632250000001</c:v>
                </c:pt>
                <c:pt idx="850">
                  <c:v>37270.1512</c:v>
                </c:pt>
                <c:pt idx="851">
                  <c:v>14119.62</c:v>
                </c:pt>
                <c:pt idx="852">
                  <c:v>42111.664700000001</c:v>
                </c:pt>
                <c:pt idx="853">
                  <c:v>11729.6795</c:v>
                </c:pt>
                <c:pt idx="854">
                  <c:v>24106.912550000001</c:v>
                </c:pt>
                <c:pt idx="855">
                  <c:v>1875.3440000000001</c:v>
                </c:pt>
                <c:pt idx="856">
                  <c:v>40974.164900000003</c:v>
                </c:pt>
                <c:pt idx="857">
                  <c:v>15817.985699999999</c:v>
                </c:pt>
                <c:pt idx="858">
                  <c:v>18218.161390000001</c:v>
                </c:pt>
                <c:pt idx="859">
                  <c:v>10965.446</c:v>
                </c:pt>
                <c:pt idx="860">
                  <c:v>46113.510999999999</c:v>
                </c:pt>
                <c:pt idx="861">
                  <c:v>7151.0919999999996</c:v>
                </c:pt>
                <c:pt idx="862">
                  <c:v>12269.68865</c:v>
                </c:pt>
                <c:pt idx="863">
                  <c:v>5458.0464499999998</c:v>
                </c:pt>
                <c:pt idx="864">
                  <c:v>8782.4689999999991</c:v>
                </c:pt>
                <c:pt idx="865">
                  <c:v>6600.3609999999999</c:v>
                </c:pt>
                <c:pt idx="866">
                  <c:v>1141.4450999999999</c:v>
                </c:pt>
                <c:pt idx="867">
                  <c:v>11576.13</c:v>
                </c:pt>
                <c:pt idx="868">
                  <c:v>13129.603450000001</c:v>
                </c:pt>
                <c:pt idx="869">
                  <c:v>4391.652</c:v>
                </c:pt>
                <c:pt idx="870">
                  <c:v>8457.8179999999993</c:v>
                </c:pt>
                <c:pt idx="871">
                  <c:v>3392.3652000000002</c:v>
                </c:pt>
                <c:pt idx="872">
                  <c:v>5966.8873999999996</c:v>
                </c:pt>
                <c:pt idx="873">
                  <c:v>6849.0259999999998</c:v>
                </c:pt>
                <c:pt idx="874">
                  <c:v>8891.1394999999993</c:v>
                </c:pt>
                <c:pt idx="875">
                  <c:v>2690.1138000000001</c:v>
                </c:pt>
                <c:pt idx="876">
                  <c:v>26140.3603</c:v>
                </c:pt>
                <c:pt idx="877">
                  <c:v>6653.7885999999999</c:v>
                </c:pt>
                <c:pt idx="878">
                  <c:v>6282.2349999999997</c:v>
                </c:pt>
                <c:pt idx="879">
                  <c:v>6311.9520000000002</c:v>
                </c:pt>
                <c:pt idx="880">
                  <c:v>3443.0639999999999</c:v>
                </c:pt>
                <c:pt idx="881">
                  <c:v>2789.0574000000001</c:v>
                </c:pt>
                <c:pt idx="882">
                  <c:v>2585.8506499999999</c:v>
                </c:pt>
                <c:pt idx="883">
                  <c:v>46255.112500000003</c:v>
                </c:pt>
                <c:pt idx="884">
                  <c:v>4877.9810500000003</c:v>
                </c:pt>
                <c:pt idx="885">
                  <c:v>19719.6947</c:v>
                </c:pt>
                <c:pt idx="886">
                  <c:v>27218.437249999999</c:v>
                </c:pt>
                <c:pt idx="887">
                  <c:v>5272.1758</c:v>
                </c:pt>
                <c:pt idx="888">
                  <c:v>1682.597</c:v>
                </c:pt>
                <c:pt idx="889">
                  <c:v>11945.1327</c:v>
                </c:pt>
                <c:pt idx="890">
                  <c:v>29330.98315</c:v>
                </c:pt>
                <c:pt idx="891">
                  <c:v>7243.8136000000004</c:v>
                </c:pt>
                <c:pt idx="892">
                  <c:v>10422.916649999999</c:v>
                </c:pt>
                <c:pt idx="893">
                  <c:v>44202.653599999998</c:v>
                </c:pt>
                <c:pt idx="894">
                  <c:v>13555.0049</c:v>
                </c:pt>
                <c:pt idx="895">
                  <c:v>13063.883</c:v>
                </c:pt>
                <c:pt idx="896">
                  <c:v>19798.054550000001</c:v>
                </c:pt>
                <c:pt idx="897">
                  <c:v>2221.5644499999999</c:v>
                </c:pt>
                <c:pt idx="898">
                  <c:v>1634.5734</c:v>
                </c:pt>
                <c:pt idx="899">
                  <c:v>2117.3388500000001</c:v>
                </c:pt>
                <c:pt idx="900">
                  <c:v>8688.8588500000005</c:v>
                </c:pt>
                <c:pt idx="901">
                  <c:v>48673.558799999999</c:v>
                </c:pt>
                <c:pt idx="902">
                  <c:v>4661.2863500000003</c:v>
                </c:pt>
                <c:pt idx="903">
                  <c:v>8125.7844999999998</c:v>
                </c:pt>
                <c:pt idx="904">
                  <c:v>12644.589</c:v>
                </c:pt>
                <c:pt idx="905">
                  <c:v>4564.1914500000003</c:v>
                </c:pt>
                <c:pt idx="906">
                  <c:v>4846.9201499999999</c:v>
                </c:pt>
                <c:pt idx="907">
                  <c:v>7633.7205999999996</c:v>
                </c:pt>
                <c:pt idx="908">
                  <c:v>15170.069</c:v>
                </c:pt>
                <c:pt idx="909">
                  <c:v>17496.306</c:v>
                </c:pt>
                <c:pt idx="910">
                  <c:v>2639.0428999999999</c:v>
                </c:pt>
                <c:pt idx="911">
                  <c:v>33732.686699999998</c:v>
                </c:pt>
                <c:pt idx="912">
                  <c:v>14382.709049999999</c:v>
                </c:pt>
                <c:pt idx="913">
                  <c:v>7626.9930000000004</c:v>
                </c:pt>
                <c:pt idx="914">
                  <c:v>5257.5079500000002</c:v>
                </c:pt>
                <c:pt idx="915">
                  <c:v>2473.3341</c:v>
                </c:pt>
                <c:pt idx="916">
                  <c:v>21774.32215</c:v>
                </c:pt>
                <c:pt idx="917">
                  <c:v>35069.374519999998</c:v>
                </c:pt>
                <c:pt idx="918">
                  <c:v>13041.921</c:v>
                </c:pt>
                <c:pt idx="919">
                  <c:v>5245.2268999999997</c:v>
                </c:pt>
                <c:pt idx="920">
                  <c:v>13451.121999999999</c:v>
                </c:pt>
                <c:pt idx="921">
                  <c:v>13462.52</c:v>
                </c:pt>
                <c:pt idx="922">
                  <c:v>5488.2619999999997</c:v>
                </c:pt>
                <c:pt idx="923">
                  <c:v>4320.4108500000002</c:v>
                </c:pt>
                <c:pt idx="924">
                  <c:v>6250.4350000000004</c:v>
                </c:pt>
                <c:pt idx="925">
                  <c:v>25333.332839999999</c:v>
                </c:pt>
                <c:pt idx="926">
                  <c:v>2913.569</c:v>
                </c:pt>
                <c:pt idx="927">
                  <c:v>12032.325999999999</c:v>
                </c:pt>
                <c:pt idx="928">
                  <c:v>13470.804400000001</c:v>
                </c:pt>
                <c:pt idx="929">
                  <c:v>6289.7548999999999</c:v>
                </c:pt>
                <c:pt idx="930">
                  <c:v>2927.0646999999999</c:v>
                </c:pt>
                <c:pt idx="931">
                  <c:v>6238.2979999999998</c:v>
                </c:pt>
                <c:pt idx="932">
                  <c:v>10096.969999999999</c:v>
                </c:pt>
                <c:pt idx="933">
                  <c:v>7348.1419999999998</c:v>
                </c:pt>
                <c:pt idx="934">
                  <c:v>4673.3922000000002</c:v>
                </c:pt>
                <c:pt idx="935">
                  <c:v>12233.828</c:v>
                </c:pt>
                <c:pt idx="936">
                  <c:v>32108.662820000001</c:v>
                </c:pt>
                <c:pt idx="937">
                  <c:v>8965.7957499999993</c:v>
                </c:pt>
                <c:pt idx="938">
                  <c:v>2304.0021999999999</c:v>
                </c:pt>
                <c:pt idx="939">
                  <c:v>9487.6442000000006</c:v>
                </c:pt>
                <c:pt idx="940">
                  <c:v>1121.8739</c:v>
                </c:pt>
                <c:pt idx="941">
                  <c:v>9549.5650999999998</c:v>
                </c:pt>
                <c:pt idx="942">
                  <c:v>2217.4691499999999</c:v>
                </c:pt>
                <c:pt idx="943">
                  <c:v>1628.4709</c:v>
                </c:pt>
                <c:pt idx="944">
                  <c:v>12982.8747</c:v>
                </c:pt>
                <c:pt idx="945">
                  <c:v>11674.13</c:v>
                </c:pt>
                <c:pt idx="946">
                  <c:v>7160.0940000000001</c:v>
                </c:pt>
                <c:pt idx="947">
                  <c:v>39047.285000000003</c:v>
                </c:pt>
                <c:pt idx="948">
                  <c:v>6358.7764500000003</c:v>
                </c:pt>
                <c:pt idx="949">
                  <c:v>19933.457999999999</c:v>
                </c:pt>
                <c:pt idx="950">
                  <c:v>11534.872649999999</c:v>
                </c:pt>
                <c:pt idx="951">
                  <c:v>47462.894</c:v>
                </c:pt>
                <c:pt idx="952">
                  <c:v>4527.1829500000003</c:v>
                </c:pt>
                <c:pt idx="953">
                  <c:v>38998.546000000002</c:v>
                </c:pt>
                <c:pt idx="954">
                  <c:v>20009.63365</c:v>
                </c:pt>
                <c:pt idx="955">
                  <c:v>3875.7341000000001</c:v>
                </c:pt>
                <c:pt idx="956">
                  <c:v>41999.519999999997</c:v>
                </c:pt>
                <c:pt idx="957">
                  <c:v>12609.88702</c:v>
                </c:pt>
                <c:pt idx="958">
                  <c:v>41034.221400000002</c:v>
                </c:pt>
                <c:pt idx="959">
                  <c:v>28468.919010000001</c:v>
                </c:pt>
                <c:pt idx="960">
                  <c:v>2730.1078499999999</c:v>
                </c:pt>
                <c:pt idx="961">
                  <c:v>3353.2840000000001</c:v>
                </c:pt>
                <c:pt idx="962">
                  <c:v>14474.674999999999</c:v>
                </c:pt>
                <c:pt idx="963">
                  <c:v>9500.5730500000009</c:v>
                </c:pt>
                <c:pt idx="964">
                  <c:v>26467.09737</c:v>
                </c:pt>
                <c:pt idx="965">
                  <c:v>4746.3440000000001</c:v>
                </c:pt>
                <c:pt idx="966">
                  <c:v>23967.38305</c:v>
                </c:pt>
                <c:pt idx="967">
                  <c:v>7518.0253499999999</c:v>
                </c:pt>
                <c:pt idx="968">
                  <c:v>3279.8685500000001</c:v>
                </c:pt>
                <c:pt idx="969">
                  <c:v>8596.8277999999991</c:v>
                </c:pt>
                <c:pt idx="970">
                  <c:v>10702.642400000001</c:v>
                </c:pt>
                <c:pt idx="971">
                  <c:v>4992.3764000000001</c:v>
                </c:pt>
                <c:pt idx="972">
                  <c:v>2527.8186500000002</c:v>
                </c:pt>
                <c:pt idx="973">
                  <c:v>1759.338</c:v>
                </c:pt>
                <c:pt idx="974">
                  <c:v>2322.6217999999999</c:v>
                </c:pt>
                <c:pt idx="975">
                  <c:v>16138.762049999999</c:v>
                </c:pt>
                <c:pt idx="976">
                  <c:v>7804.1605</c:v>
                </c:pt>
                <c:pt idx="977">
                  <c:v>2902.9065000000001</c:v>
                </c:pt>
                <c:pt idx="978">
                  <c:v>9704.6680500000002</c:v>
                </c:pt>
                <c:pt idx="979">
                  <c:v>4889.0367999999999</c:v>
                </c:pt>
                <c:pt idx="980">
                  <c:v>25517.11363</c:v>
                </c:pt>
                <c:pt idx="981">
                  <c:v>4500.33925</c:v>
                </c:pt>
                <c:pt idx="982">
                  <c:v>19199.944</c:v>
                </c:pt>
                <c:pt idx="983">
                  <c:v>16796.411940000002</c:v>
                </c:pt>
                <c:pt idx="984">
                  <c:v>4915.0598499999996</c:v>
                </c:pt>
                <c:pt idx="985">
                  <c:v>7624.63</c:v>
                </c:pt>
                <c:pt idx="986">
                  <c:v>8410.0468500000006</c:v>
                </c:pt>
                <c:pt idx="987">
                  <c:v>28340.188849999999</c:v>
                </c:pt>
                <c:pt idx="988">
                  <c:v>4518.8262500000001</c:v>
                </c:pt>
                <c:pt idx="989">
                  <c:v>14571.890799999999</c:v>
                </c:pt>
                <c:pt idx="990">
                  <c:v>3378.91</c:v>
                </c:pt>
                <c:pt idx="991">
                  <c:v>7144.86265</c:v>
                </c:pt>
                <c:pt idx="992">
                  <c:v>10118.424000000001</c:v>
                </c:pt>
                <c:pt idx="993">
                  <c:v>5484.4673000000003</c:v>
                </c:pt>
                <c:pt idx="994">
                  <c:v>16420.494549999999</c:v>
                </c:pt>
                <c:pt idx="995">
                  <c:v>7986.4752500000004</c:v>
                </c:pt>
                <c:pt idx="996">
                  <c:v>7418.5219999999999</c:v>
                </c:pt>
                <c:pt idx="997">
                  <c:v>13887.968500000001</c:v>
                </c:pt>
                <c:pt idx="998">
                  <c:v>6551.7501000000002</c:v>
                </c:pt>
                <c:pt idx="999">
                  <c:v>5267.8181500000001</c:v>
                </c:pt>
                <c:pt idx="1000">
                  <c:v>17361.766100000001</c:v>
                </c:pt>
                <c:pt idx="1001">
                  <c:v>34472.841</c:v>
                </c:pt>
                <c:pt idx="1002">
                  <c:v>1972.95</c:v>
                </c:pt>
                <c:pt idx="1003">
                  <c:v>21232.182260000001</c:v>
                </c:pt>
                <c:pt idx="1004">
                  <c:v>8627.5411000000004</c:v>
                </c:pt>
                <c:pt idx="1005">
                  <c:v>4433.3877000000002</c:v>
                </c:pt>
                <c:pt idx="1006">
                  <c:v>4438.2633999999998</c:v>
                </c:pt>
                <c:pt idx="1007">
                  <c:v>24915.220850000002</c:v>
                </c:pt>
                <c:pt idx="1008">
                  <c:v>23241.47453</c:v>
                </c:pt>
                <c:pt idx="1009">
                  <c:v>9957.7216000000008</c:v>
                </c:pt>
                <c:pt idx="1010">
                  <c:v>8269.0439999999999</c:v>
                </c:pt>
                <c:pt idx="1011">
                  <c:v>18767.737700000001</c:v>
                </c:pt>
                <c:pt idx="1012">
                  <c:v>36580.282160000002</c:v>
                </c:pt>
                <c:pt idx="1013">
                  <c:v>8765.2489999999998</c:v>
                </c:pt>
                <c:pt idx="1014">
                  <c:v>5383.5360000000001</c:v>
                </c:pt>
                <c:pt idx="1015">
                  <c:v>12124.992399999999</c:v>
                </c:pt>
                <c:pt idx="1016">
                  <c:v>2709.24395</c:v>
                </c:pt>
                <c:pt idx="1017">
                  <c:v>3987.9259999999999</c:v>
                </c:pt>
                <c:pt idx="1018">
                  <c:v>12495.290849999999</c:v>
                </c:pt>
                <c:pt idx="1019">
                  <c:v>26018.950519999999</c:v>
                </c:pt>
                <c:pt idx="1020">
                  <c:v>8798.5930000000008</c:v>
                </c:pt>
                <c:pt idx="1021">
                  <c:v>35595.589800000002</c:v>
                </c:pt>
                <c:pt idx="1022">
                  <c:v>42211.138200000001</c:v>
                </c:pt>
                <c:pt idx="1023">
                  <c:v>1711.0268000000001</c:v>
                </c:pt>
                <c:pt idx="1024">
                  <c:v>8569.8618000000006</c:v>
                </c:pt>
                <c:pt idx="1025">
                  <c:v>2020.1769999999999</c:v>
                </c:pt>
                <c:pt idx="1026">
                  <c:v>16450.894700000001</c:v>
                </c:pt>
                <c:pt idx="1027">
                  <c:v>21595.382290000001</c:v>
                </c:pt>
                <c:pt idx="1028">
                  <c:v>9850.4320000000007</c:v>
                </c:pt>
                <c:pt idx="1029">
                  <c:v>6877.9800999999998</c:v>
                </c:pt>
                <c:pt idx="1030">
                  <c:v>21677.283449999999</c:v>
                </c:pt>
                <c:pt idx="1031">
                  <c:v>44423.803</c:v>
                </c:pt>
                <c:pt idx="1032">
                  <c:v>4137.5227000000004</c:v>
                </c:pt>
                <c:pt idx="1033">
                  <c:v>13747.87235</c:v>
                </c:pt>
                <c:pt idx="1034">
                  <c:v>12950.0712</c:v>
                </c:pt>
                <c:pt idx="1035">
                  <c:v>12094.477999999999</c:v>
                </c:pt>
                <c:pt idx="1036">
                  <c:v>37484.4493</c:v>
                </c:pt>
                <c:pt idx="1037">
                  <c:v>39725.518049999999</c:v>
                </c:pt>
                <c:pt idx="1038">
                  <c:v>2250.8352</c:v>
                </c:pt>
                <c:pt idx="1039">
                  <c:v>22493.659640000002</c:v>
                </c:pt>
                <c:pt idx="1040">
                  <c:v>20234.854749999999</c:v>
                </c:pt>
                <c:pt idx="1041">
                  <c:v>1704.7001499999999</c:v>
                </c:pt>
                <c:pt idx="1042">
                  <c:v>33475.817150000003</c:v>
                </c:pt>
                <c:pt idx="1043">
                  <c:v>3161.4540000000002</c:v>
                </c:pt>
                <c:pt idx="1044">
                  <c:v>11394.065549999999</c:v>
                </c:pt>
                <c:pt idx="1045">
                  <c:v>21880.82</c:v>
                </c:pt>
                <c:pt idx="1046">
                  <c:v>7325.0482000000002</c:v>
                </c:pt>
                <c:pt idx="1047">
                  <c:v>44501.398200000003</c:v>
                </c:pt>
                <c:pt idx="1048">
                  <c:v>3594.17085</c:v>
                </c:pt>
                <c:pt idx="1049">
                  <c:v>39727.614000000001</c:v>
                </c:pt>
                <c:pt idx="1050">
                  <c:v>8023.1354499999998</c:v>
                </c:pt>
                <c:pt idx="1051">
                  <c:v>14394.5579</c:v>
                </c:pt>
                <c:pt idx="1052">
                  <c:v>9288.0267000000003</c:v>
                </c:pt>
                <c:pt idx="1053">
                  <c:v>25309.489000000001</c:v>
                </c:pt>
                <c:pt idx="1054">
                  <c:v>3353.4703</c:v>
                </c:pt>
                <c:pt idx="1055">
                  <c:v>10594.501550000001</c:v>
                </c:pt>
                <c:pt idx="1056">
                  <c:v>8277.5229999999992</c:v>
                </c:pt>
                <c:pt idx="1057">
                  <c:v>17929.303370000001</c:v>
                </c:pt>
                <c:pt idx="1058">
                  <c:v>2480.9791</c:v>
                </c:pt>
                <c:pt idx="1059">
                  <c:v>4462.7218000000003</c:v>
                </c:pt>
                <c:pt idx="1060">
                  <c:v>1981.5818999999999</c:v>
                </c:pt>
                <c:pt idx="1061">
                  <c:v>11554.223599999999</c:v>
                </c:pt>
                <c:pt idx="1062">
                  <c:v>48970.247600000002</c:v>
                </c:pt>
                <c:pt idx="1063">
                  <c:v>6548.1950500000003</c:v>
                </c:pt>
                <c:pt idx="1064">
                  <c:v>5708.8670000000002</c:v>
                </c:pt>
                <c:pt idx="1065">
                  <c:v>7045.4989999999998</c:v>
                </c:pt>
                <c:pt idx="1066">
                  <c:v>8978.1851000000006</c:v>
                </c:pt>
                <c:pt idx="1067">
                  <c:v>5757.41345</c:v>
                </c:pt>
                <c:pt idx="1068">
                  <c:v>14349.8544</c:v>
                </c:pt>
                <c:pt idx="1069">
                  <c:v>10928.849</c:v>
                </c:pt>
                <c:pt idx="1070">
                  <c:v>39871.704299999998</c:v>
                </c:pt>
                <c:pt idx="1071">
                  <c:v>13974.455550000001</c:v>
                </c:pt>
                <c:pt idx="1072">
                  <c:v>1909.52745</c:v>
                </c:pt>
                <c:pt idx="1073">
                  <c:v>12096.6512</c:v>
                </c:pt>
                <c:pt idx="1074">
                  <c:v>13204.28565</c:v>
                </c:pt>
                <c:pt idx="1075">
                  <c:v>4562.8420999999998</c:v>
                </c:pt>
                <c:pt idx="1076">
                  <c:v>8551.3469999999998</c:v>
                </c:pt>
                <c:pt idx="1077">
                  <c:v>2102.2647000000002</c:v>
                </c:pt>
                <c:pt idx="1078">
                  <c:v>34672.147199999999</c:v>
                </c:pt>
                <c:pt idx="1079">
                  <c:v>15161.5344</c:v>
                </c:pt>
                <c:pt idx="1080">
                  <c:v>11884.048580000001</c:v>
                </c:pt>
                <c:pt idx="1081">
                  <c:v>4454.40265</c:v>
                </c:pt>
                <c:pt idx="1082">
                  <c:v>5855.9025000000001</c:v>
                </c:pt>
                <c:pt idx="1083">
                  <c:v>4076.4969999999998</c:v>
                </c:pt>
                <c:pt idx="1084">
                  <c:v>15019.760050000001</c:v>
                </c:pt>
                <c:pt idx="1085">
                  <c:v>19023.259999999998</c:v>
                </c:pt>
                <c:pt idx="1086">
                  <c:v>10796.35025</c:v>
                </c:pt>
                <c:pt idx="1087">
                  <c:v>11353.2276</c:v>
                </c:pt>
                <c:pt idx="1088">
                  <c:v>9748.9105999999992</c:v>
                </c:pt>
                <c:pt idx="1089">
                  <c:v>10577.087</c:v>
                </c:pt>
                <c:pt idx="1090">
                  <c:v>41676.081100000003</c:v>
                </c:pt>
                <c:pt idx="1091">
                  <c:v>11286.538699999999</c:v>
                </c:pt>
                <c:pt idx="1092">
                  <c:v>3591.48</c:v>
                </c:pt>
                <c:pt idx="1093">
                  <c:v>33907.548000000003</c:v>
                </c:pt>
                <c:pt idx="1094">
                  <c:v>11299.343000000001</c:v>
                </c:pt>
                <c:pt idx="1095">
                  <c:v>4561.1885000000002</c:v>
                </c:pt>
                <c:pt idx="1096">
                  <c:v>44641.197399999997</c:v>
                </c:pt>
                <c:pt idx="1097">
                  <c:v>1674.6323</c:v>
                </c:pt>
                <c:pt idx="1098">
                  <c:v>23045.566159999998</c:v>
                </c:pt>
                <c:pt idx="1099">
                  <c:v>3227.1210999999998</c:v>
                </c:pt>
                <c:pt idx="1100">
                  <c:v>16776.304049999999</c:v>
                </c:pt>
                <c:pt idx="1101">
                  <c:v>11253.421</c:v>
                </c:pt>
                <c:pt idx="1102">
                  <c:v>3471.4096</c:v>
                </c:pt>
                <c:pt idx="1103">
                  <c:v>11363.2832</c:v>
                </c:pt>
                <c:pt idx="1104">
                  <c:v>20420.604650000001</c:v>
                </c:pt>
                <c:pt idx="1105">
                  <c:v>10338.9316</c:v>
                </c:pt>
                <c:pt idx="1106">
                  <c:v>8988.1587500000005</c:v>
                </c:pt>
                <c:pt idx="1107">
                  <c:v>10493.9458</c:v>
                </c:pt>
                <c:pt idx="1108">
                  <c:v>2904.0880000000002</c:v>
                </c:pt>
                <c:pt idx="1109">
                  <c:v>8605.3615000000009</c:v>
                </c:pt>
                <c:pt idx="1110">
                  <c:v>11512.405000000001</c:v>
                </c:pt>
                <c:pt idx="1111">
                  <c:v>41949.244100000004</c:v>
                </c:pt>
                <c:pt idx="1112">
                  <c:v>24180.933499999999</c:v>
                </c:pt>
                <c:pt idx="1113">
                  <c:v>5312.1698500000002</c:v>
                </c:pt>
                <c:pt idx="1114">
                  <c:v>2396.0958999999998</c:v>
                </c:pt>
                <c:pt idx="1115">
                  <c:v>10807.4863</c:v>
                </c:pt>
                <c:pt idx="1116">
                  <c:v>9222.4025999999994</c:v>
                </c:pt>
                <c:pt idx="1117">
                  <c:v>36124.573700000001</c:v>
                </c:pt>
                <c:pt idx="1118">
                  <c:v>38282.749499999998</c:v>
                </c:pt>
                <c:pt idx="1119">
                  <c:v>5693.4305000000004</c:v>
                </c:pt>
                <c:pt idx="1120">
                  <c:v>34166.273000000001</c:v>
                </c:pt>
                <c:pt idx="1121">
                  <c:v>8347.1643000000004</c:v>
                </c:pt>
                <c:pt idx="1122">
                  <c:v>46661.4424</c:v>
                </c:pt>
                <c:pt idx="1123">
                  <c:v>18903.491409999999</c:v>
                </c:pt>
                <c:pt idx="1124">
                  <c:v>40904.199500000002</c:v>
                </c:pt>
                <c:pt idx="1125">
                  <c:v>14254.608200000001</c:v>
                </c:pt>
                <c:pt idx="1126">
                  <c:v>10214.636</c:v>
                </c:pt>
                <c:pt idx="1127">
                  <c:v>5836.5204000000003</c:v>
                </c:pt>
                <c:pt idx="1128">
                  <c:v>14358.364369999999</c:v>
                </c:pt>
                <c:pt idx="1129">
                  <c:v>1728.8969999999999</c:v>
                </c:pt>
                <c:pt idx="1130">
                  <c:v>8582.3022999999994</c:v>
                </c:pt>
                <c:pt idx="1131">
                  <c:v>3693.4279999999999</c:v>
                </c:pt>
                <c:pt idx="1132">
                  <c:v>20709.020339999999</c:v>
                </c:pt>
                <c:pt idx="1133">
                  <c:v>9991.0376500000002</c:v>
                </c:pt>
                <c:pt idx="1134">
                  <c:v>19673.335729999999</c:v>
                </c:pt>
                <c:pt idx="1135">
                  <c:v>11085.586799999999</c:v>
                </c:pt>
                <c:pt idx="1136">
                  <c:v>7623.518</c:v>
                </c:pt>
                <c:pt idx="1137">
                  <c:v>3176.2876999999999</c:v>
                </c:pt>
                <c:pt idx="1138">
                  <c:v>3704.3544999999999</c:v>
                </c:pt>
                <c:pt idx="1139">
                  <c:v>36898.733079999998</c:v>
                </c:pt>
                <c:pt idx="1140">
                  <c:v>9048.0272999999997</c:v>
                </c:pt>
                <c:pt idx="1141">
                  <c:v>7954.5169999999998</c:v>
                </c:pt>
                <c:pt idx="1142">
                  <c:v>27117.993780000001</c:v>
                </c:pt>
                <c:pt idx="1143">
                  <c:v>6338.0756000000001</c:v>
                </c:pt>
                <c:pt idx="1144">
                  <c:v>9630.3970000000008</c:v>
                </c:pt>
                <c:pt idx="1145">
                  <c:v>11289.10925</c:v>
                </c:pt>
                <c:pt idx="1146">
                  <c:v>52590.829389999999</c:v>
                </c:pt>
                <c:pt idx="1147">
                  <c:v>2261.5688</c:v>
                </c:pt>
                <c:pt idx="1148">
                  <c:v>10791.96</c:v>
                </c:pt>
                <c:pt idx="1149">
                  <c:v>5979.7309999999998</c:v>
                </c:pt>
                <c:pt idx="1150">
                  <c:v>2203.7359499999998</c:v>
                </c:pt>
                <c:pt idx="1151">
                  <c:v>12235.8392</c:v>
                </c:pt>
                <c:pt idx="1152">
                  <c:v>40941.285400000001</c:v>
                </c:pt>
                <c:pt idx="1153">
                  <c:v>5630.4578499999998</c:v>
                </c:pt>
                <c:pt idx="1154">
                  <c:v>11015.1747</c:v>
                </c:pt>
                <c:pt idx="1155">
                  <c:v>7228.2156500000001</c:v>
                </c:pt>
                <c:pt idx="1156">
                  <c:v>39722.746200000001</c:v>
                </c:pt>
                <c:pt idx="1157">
                  <c:v>14426.073850000001</c:v>
                </c:pt>
                <c:pt idx="1158">
                  <c:v>2459.7201</c:v>
                </c:pt>
                <c:pt idx="1159">
                  <c:v>3989.8409999999999</c:v>
                </c:pt>
                <c:pt idx="1160">
                  <c:v>7727.2532000000001</c:v>
                </c:pt>
                <c:pt idx="1161">
                  <c:v>5124.1886999999997</c:v>
                </c:pt>
                <c:pt idx="1162">
                  <c:v>18963.171920000001</c:v>
                </c:pt>
                <c:pt idx="1163">
                  <c:v>2200.8308499999998</c:v>
                </c:pt>
                <c:pt idx="1164">
                  <c:v>7153.5538999999999</c:v>
                </c:pt>
                <c:pt idx="1165">
                  <c:v>5227.9887500000004</c:v>
                </c:pt>
                <c:pt idx="1166">
                  <c:v>10982.5013</c:v>
                </c:pt>
                <c:pt idx="1167">
                  <c:v>4529.4769999999999</c:v>
                </c:pt>
                <c:pt idx="1168">
                  <c:v>4670.6400000000003</c:v>
                </c:pt>
                <c:pt idx="1169">
                  <c:v>6112.3529500000004</c:v>
                </c:pt>
                <c:pt idx="1170">
                  <c:v>17178.682400000002</c:v>
                </c:pt>
                <c:pt idx="1171">
                  <c:v>22478.6</c:v>
                </c:pt>
                <c:pt idx="1172">
                  <c:v>11093.6229</c:v>
                </c:pt>
                <c:pt idx="1173">
                  <c:v>6457.8433999999997</c:v>
                </c:pt>
                <c:pt idx="1174">
                  <c:v>4433.9159</c:v>
                </c:pt>
                <c:pt idx="1175">
                  <c:v>2154.3609999999999</c:v>
                </c:pt>
                <c:pt idx="1176">
                  <c:v>23887.662700000001</c:v>
                </c:pt>
                <c:pt idx="1177">
                  <c:v>6496.8860000000004</c:v>
                </c:pt>
                <c:pt idx="1178">
                  <c:v>2899.4893499999998</c:v>
                </c:pt>
                <c:pt idx="1179">
                  <c:v>19350.368900000001</c:v>
                </c:pt>
                <c:pt idx="1180">
                  <c:v>7650.7737500000003</c:v>
                </c:pt>
                <c:pt idx="1181">
                  <c:v>2850.6837500000001</c:v>
                </c:pt>
                <c:pt idx="1182">
                  <c:v>2632.9920000000002</c:v>
                </c:pt>
                <c:pt idx="1183">
                  <c:v>9447.3824000000004</c:v>
                </c:pt>
                <c:pt idx="1184">
                  <c:v>18328.238099999999</c:v>
                </c:pt>
                <c:pt idx="1185">
                  <c:v>8603.8233999999993</c:v>
                </c:pt>
                <c:pt idx="1186">
                  <c:v>37465.34375</c:v>
                </c:pt>
                <c:pt idx="1187">
                  <c:v>13844.797200000001</c:v>
                </c:pt>
                <c:pt idx="1188">
                  <c:v>21771.3423</c:v>
                </c:pt>
                <c:pt idx="1189">
                  <c:v>13126.677449999999</c:v>
                </c:pt>
                <c:pt idx="1190">
                  <c:v>5327.4002499999997</c:v>
                </c:pt>
                <c:pt idx="1191">
                  <c:v>13725.47184</c:v>
                </c:pt>
                <c:pt idx="1192">
                  <c:v>13019.161050000001</c:v>
                </c:pt>
                <c:pt idx="1193">
                  <c:v>8671.1912499999999</c:v>
                </c:pt>
                <c:pt idx="1194">
                  <c:v>4134.0824499999999</c:v>
                </c:pt>
                <c:pt idx="1195">
                  <c:v>18838.703659999999</c:v>
                </c:pt>
                <c:pt idx="1196">
                  <c:v>33307.550799999997</c:v>
                </c:pt>
                <c:pt idx="1197">
                  <c:v>5699.8374999999996</c:v>
                </c:pt>
                <c:pt idx="1198">
                  <c:v>6393.6034499999996</c:v>
                </c:pt>
                <c:pt idx="1199">
                  <c:v>4934.7049999999999</c:v>
                </c:pt>
                <c:pt idx="1200">
                  <c:v>6198.7518</c:v>
                </c:pt>
                <c:pt idx="1201">
                  <c:v>8733.2292500000003</c:v>
                </c:pt>
                <c:pt idx="1202">
                  <c:v>2055.3249000000001</c:v>
                </c:pt>
                <c:pt idx="1203">
                  <c:v>9964.06</c:v>
                </c:pt>
                <c:pt idx="1204">
                  <c:v>18223.4512</c:v>
                </c:pt>
                <c:pt idx="1205">
                  <c:v>5116.5003999999999</c:v>
                </c:pt>
                <c:pt idx="1206">
                  <c:v>36910.608030000003</c:v>
                </c:pt>
                <c:pt idx="1207">
                  <c:v>38415.474000000002</c:v>
                </c:pt>
                <c:pt idx="1208">
                  <c:v>20296.863450000001</c:v>
                </c:pt>
                <c:pt idx="1209">
                  <c:v>12347.172</c:v>
                </c:pt>
                <c:pt idx="1210">
                  <c:v>5373.3642499999996</c:v>
                </c:pt>
                <c:pt idx="1211">
                  <c:v>23563.016179999999</c:v>
                </c:pt>
                <c:pt idx="1212">
                  <c:v>1702.4553000000001</c:v>
                </c:pt>
                <c:pt idx="1213">
                  <c:v>10806.839</c:v>
                </c:pt>
                <c:pt idx="1214">
                  <c:v>3956.0714499999999</c:v>
                </c:pt>
                <c:pt idx="1215">
                  <c:v>12890.057650000001</c:v>
                </c:pt>
                <c:pt idx="1216">
                  <c:v>5415.6611999999996</c:v>
                </c:pt>
                <c:pt idx="1217">
                  <c:v>4058.1161000000002</c:v>
                </c:pt>
                <c:pt idx="1218">
                  <c:v>41661.601999999999</c:v>
                </c:pt>
                <c:pt idx="1219">
                  <c:v>7537.1638999999996</c:v>
                </c:pt>
                <c:pt idx="1220">
                  <c:v>4718.2035500000002</c:v>
                </c:pt>
                <c:pt idx="1221">
                  <c:v>6593.5083000000004</c:v>
                </c:pt>
                <c:pt idx="1222">
                  <c:v>8442.6669999999995</c:v>
                </c:pt>
                <c:pt idx="1223">
                  <c:v>26125.674770000001</c:v>
                </c:pt>
                <c:pt idx="1224">
                  <c:v>6858.4795999999997</c:v>
                </c:pt>
                <c:pt idx="1225">
                  <c:v>4795.6567999999997</c:v>
                </c:pt>
                <c:pt idx="1226">
                  <c:v>6640.5448500000002</c:v>
                </c:pt>
                <c:pt idx="1227">
                  <c:v>7162.0122000000001</c:v>
                </c:pt>
                <c:pt idx="1228">
                  <c:v>10594.225700000001</c:v>
                </c:pt>
                <c:pt idx="1229">
                  <c:v>11938.255950000001</c:v>
                </c:pt>
                <c:pt idx="1230">
                  <c:v>60021.398970000002</c:v>
                </c:pt>
                <c:pt idx="1231">
                  <c:v>20167.336029999999</c:v>
                </c:pt>
                <c:pt idx="1232">
                  <c:v>12479.70895</c:v>
                </c:pt>
                <c:pt idx="1233">
                  <c:v>11345.519</c:v>
                </c:pt>
                <c:pt idx="1234">
                  <c:v>8515.7587000000003</c:v>
                </c:pt>
                <c:pt idx="1235">
                  <c:v>2699.56835</c:v>
                </c:pt>
                <c:pt idx="1236">
                  <c:v>14449.8544</c:v>
                </c:pt>
                <c:pt idx="1237">
                  <c:v>12224.350850000001</c:v>
                </c:pt>
                <c:pt idx="1238">
                  <c:v>6985.50695</c:v>
                </c:pt>
                <c:pt idx="1239">
                  <c:v>3238.4357</c:v>
                </c:pt>
                <c:pt idx="1240">
                  <c:v>47269.853999999999</c:v>
                </c:pt>
                <c:pt idx="1241">
                  <c:v>49577.662400000001</c:v>
                </c:pt>
                <c:pt idx="1242">
                  <c:v>4296.2712000000001</c:v>
                </c:pt>
                <c:pt idx="1243">
                  <c:v>3171.6149</c:v>
                </c:pt>
                <c:pt idx="1244">
                  <c:v>1135.9407000000001</c:v>
                </c:pt>
                <c:pt idx="1245">
                  <c:v>5615.3689999999997</c:v>
                </c:pt>
                <c:pt idx="1246">
                  <c:v>9101.7980000000007</c:v>
                </c:pt>
                <c:pt idx="1247">
                  <c:v>6059.1729999999998</c:v>
                </c:pt>
                <c:pt idx="1248">
                  <c:v>1633.9618</c:v>
                </c:pt>
                <c:pt idx="1249">
                  <c:v>37607.527699999999</c:v>
                </c:pt>
                <c:pt idx="1250">
                  <c:v>18648.421699999999</c:v>
                </c:pt>
                <c:pt idx="1251">
                  <c:v>1241.5650000000001</c:v>
                </c:pt>
                <c:pt idx="1252">
                  <c:v>16232.847</c:v>
                </c:pt>
                <c:pt idx="1253">
                  <c:v>15828.82173</c:v>
                </c:pt>
                <c:pt idx="1254">
                  <c:v>4415.1588000000002</c:v>
                </c:pt>
                <c:pt idx="1255">
                  <c:v>6474.0129999999999</c:v>
                </c:pt>
                <c:pt idx="1256">
                  <c:v>11436.738149999999</c:v>
                </c:pt>
                <c:pt idx="1257">
                  <c:v>11305.93455</c:v>
                </c:pt>
                <c:pt idx="1258">
                  <c:v>30063.580549999999</c:v>
                </c:pt>
                <c:pt idx="1259">
                  <c:v>10197.772199999999</c:v>
                </c:pt>
                <c:pt idx="1260">
                  <c:v>4544.2348000000002</c:v>
                </c:pt>
                <c:pt idx="1261">
                  <c:v>3277.1610000000001</c:v>
                </c:pt>
                <c:pt idx="1262">
                  <c:v>6770.1925000000001</c:v>
                </c:pt>
                <c:pt idx="1263">
                  <c:v>7337.7479999999996</c:v>
                </c:pt>
                <c:pt idx="1264">
                  <c:v>10370.912549999999</c:v>
                </c:pt>
                <c:pt idx="1265">
                  <c:v>26926.5144</c:v>
                </c:pt>
                <c:pt idx="1266">
                  <c:v>10704.47</c:v>
                </c:pt>
                <c:pt idx="1267">
                  <c:v>34254.053350000002</c:v>
                </c:pt>
                <c:pt idx="1268">
                  <c:v>1880.4870000000001</c:v>
                </c:pt>
                <c:pt idx="1269">
                  <c:v>8615.2999999999993</c:v>
                </c:pt>
                <c:pt idx="1270">
                  <c:v>3292.5298499999999</c:v>
                </c:pt>
                <c:pt idx="1271">
                  <c:v>3021.80915</c:v>
                </c:pt>
                <c:pt idx="1272">
                  <c:v>14478.33015</c:v>
                </c:pt>
                <c:pt idx="1273">
                  <c:v>4747.0528999999997</c:v>
                </c:pt>
                <c:pt idx="1274">
                  <c:v>17043.341400000001</c:v>
                </c:pt>
                <c:pt idx="1275">
                  <c:v>10959.33</c:v>
                </c:pt>
                <c:pt idx="1276">
                  <c:v>2741.9479999999999</c:v>
                </c:pt>
                <c:pt idx="1277">
                  <c:v>4357.0436499999996</c:v>
                </c:pt>
                <c:pt idx="1278">
                  <c:v>22462.043750000001</c:v>
                </c:pt>
                <c:pt idx="1279">
                  <c:v>4189.1130999999996</c:v>
                </c:pt>
                <c:pt idx="1280">
                  <c:v>8283.6807000000008</c:v>
                </c:pt>
                <c:pt idx="1281">
                  <c:v>24535.698550000001</c:v>
                </c:pt>
                <c:pt idx="1282">
                  <c:v>14283.4594</c:v>
                </c:pt>
                <c:pt idx="1283">
                  <c:v>1720.3536999999999</c:v>
                </c:pt>
                <c:pt idx="1284">
                  <c:v>47403.88</c:v>
                </c:pt>
                <c:pt idx="1285">
                  <c:v>8534.6718000000001</c:v>
                </c:pt>
                <c:pt idx="1286">
                  <c:v>3732.6251000000002</c:v>
                </c:pt>
                <c:pt idx="1287">
                  <c:v>5472.4489999999996</c:v>
                </c:pt>
                <c:pt idx="1288">
                  <c:v>38344.565999999999</c:v>
                </c:pt>
                <c:pt idx="1289">
                  <c:v>7147.4727999999996</c:v>
                </c:pt>
                <c:pt idx="1290">
                  <c:v>7133.9025000000001</c:v>
                </c:pt>
                <c:pt idx="1291">
                  <c:v>34828.654000000002</c:v>
                </c:pt>
                <c:pt idx="1292">
                  <c:v>1515.3449000000001</c:v>
                </c:pt>
                <c:pt idx="1293">
                  <c:v>9301.8935500000007</c:v>
                </c:pt>
                <c:pt idx="1294">
                  <c:v>11931.125249999999</c:v>
                </c:pt>
                <c:pt idx="1295">
                  <c:v>1964.78</c:v>
                </c:pt>
                <c:pt idx="1296">
                  <c:v>1708.9257500000001</c:v>
                </c:pt>
                <c:pt idx="1297">
                  <c:v>4340.4408999999996</c:v>
                </c:pt>
                <c:pt idx="1298">
                  <c:v>5261.4694499999996</c:v>
                </c:pt>
                <c:pt idx="1299">
                  <c:v>2710.8285500000002</c:v>
                </c:pt>
                <c:pt idx="1300">
                  <c:v>62592.873090000001</c:v>
                </c:pt>
                <c:pt idx="1301">
                  <c:v>46718.163249999998</c:v>
                </c:pt>
                <c:pt idx="1302">
                  <c:v>3208.7869999999998</c:v>
                </c:pt>
                <c:pt idx="1303">
                  <c:v>37829.724199999997</c:v>
                </c:pt>
                <c:pt idx="1304">
                  <c:v>21259.377949999998</c:v>
                </c:pt>
                <c:pt idx="1305">
                  <c:v>2464.6188000000002</c:v>
                </c:pt>
                <c:pt idx="1306">
                  <c:v>16115.3045</c:v>
                </c:pt>
                <c:pt idx="1307">
                  <c:v>21472.478800000001</c:v>
                </c:pt>
                <c:pt idx="1308">
                  <c:v>33900.652999999998</c:v>
                </c:pt>
                <c:pt idx="1309">
                  <c:v>6875.9610000000002</c:v>
                </c:pt>
                <c:pt idx="1310">
                  <c:v>6940.90985</c:v>
                </c:pt>
                <c:pt idx="1311">
                  <c:v>4571.4130500000001</c:v>
                </c:pt>
                <c:pt idx="1312">
                  <c:v>4536.259</c:v>
                </c:pt>
                <c:pt idx="1313">
                  <c:v>36397.576000000001</c:v>
                </c:pt>
                <c:pt idx="1314">
                  <c:v>18765.87545</c:v>
                </c:pt>
                <c:pt idx="1315">
                  <c:v>11272.331389999999</c:v>
                </c:pt>
                <c:pt idx="1316">
                  <c:v>1731.6769999999999</c:v>
                </c:pt>
                <c:pt idx="1317">
                  <c:v>1163.4627</c:v>
                </c:pt>
                <c:pt idx="1318">
                  <c:v>19496.71917</c:v>
                </c:pt>
                <c:pt idx="1319">
                  <c:v>7201.7008500000002</c:v>
                </c:pt>
                <c:pt idx="1320">
                  <c:v>5425.0233500000004</c:v>
                </c:pt>
                <c:pt idx="1321">
                  <c:v>28101.333050000001</c:v>
                </c:pt>
                <c:pt idx="1322">
                  <c:v>12981.3457</c:v>
                </c:pt>
                <c:pt idx="1323">
                  <c:v>43896.376300000004</c:v>
                </c:pt>
                <c:pt idx="1324">
                  <c:v>4239.8926499999998</c:v>
                </c:pt>
                <c:pt idx="1325">
                  <c:v>13143.336649999999</c:v>
                </c:pt>
                <c:pt idx="1326">
                  <c:v>7050.0213000000003</c:v>
                </c:pt>
                <c:pt idx="1327">
                  <c:v>9377.9046999999991</c:v>
                </c:pt>
                <c:pt idx="1328">
                  <c:v>22395.74424</c:v>
                </c:pt>
                <c:pt idx="1329">
                  <c:v>10325.206</c:v>
                </c:pt>
                <c:pt idx="1330">
                  <c:v>12629.1656</c:v>
                </c:pt>
                <c:pt idx="1331">
                  <c:v>10795.937330000001</c:v>
                </c:pt>
                <c:pt idx="1332">
                  <c:v>11411.684999999999</c:v>
                </c:pt>
                <c:pt idx="1333">
                  <c:v>10600.5483</c:v>
                </c:pt>
                <c:pt idx="1334">
                  <c:v>2205.9807999999998</c:v>
                </c:pt>
                <c:pt idx="1335">
                  <c:v>1629.8335</c:v>
                </c:pt>
                <c:pt idx="1336">
                  <c:v>2007.9449999999999</c:v>
                </c:pt>
                <c:pt idx="1337">
                  <c:v>29141.3603</c:v>
                </c:pt>
              </c:numCache>
            </c:numRef>
          </c:yVal>
          <c:smooth val="0"/>
          <c:extLst>
            <c:ext xmlns:c16="http://schemas.microsoft.com/office/drawing/2014/chart" uri="{C3380CC4-5D6E-409C-BE32-E72D297353CC}">
              <c16:uniqueId val="{00000000-8946-4FD5-81F0-16BCE9938CD6}"/>
            </c:ext>
          </c:extLst>
        </c:ser>
        <c:dLbls>
          <c:showLegendKey val="0"/>
          <c:showVal val="0"/>
          <c:showCatName val="0"/>
          <c:showSerName val="0"/>
          <c:showPercent val="0"/>
          <c:showBubbleSize val="0"/>
        </c:dLbls>
        <c:axId val="1537827552"/>
        <c:axId val="1537827072"/>
      </c:scatterChart>
      <c:valAx>
        <c:axId val="153782755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37827072"/>
        <c:crosses val="autoZero"/>
        <c:crossBetween val="midCat"/>
      </c:valAx>
      <c:valAx>
        <c:axId val="153782707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37827552"/>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project.xlsx]MedicalAnalysis!PivotTable10</c:name>
    <c:fmtId val="4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Bmi Category Counting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MedicalAnalysis!$B$110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MedicalAnalysis!$A$111:$A$112</c:f>
              <c:strCache>
                <c:ptCount val="1"/>
                <c:pt idx="0">
                  <c:v>Obese</c:v>
                </c:pt>
              </c:strCache>
            </c:strRef>
          </c:cat>
          <c:val>
            <c:numRef>
              <c:f>MedicalAnalysis!$B$111:$B$112</c:f>
              <c:numCache>
                <c:formatCode>General</c:formatCode>
                <c:ptCount val="1"/>
                <c:pt idx="0">
                  <c:v>706</c:v>
                </c:pt>
              </c:numCache>
            </c:numRef>
          </c:val>
          <c:extLst>
            <c:ext xmlns:c16="http://schemas.microsoft.com/office/drawing/2014/chart" uri="{C3380CC4-5D6E-409C-BE32-E72D297353CC}">
              <c16:uniqueId val="{00000000-AC1E-4B5B-BDEB-12072358DDED}"/>
            </c:ext>
          </c:extLst>
        </c:ser>
        <c:dLbls>
          <c:dLblPos val="outEnd"/>
          <c:showLegendKey val="0"/>
          <c:showVal val="1"/>
          <c:showCatName val="0"/>
          <c:showSerName val="0"/>
          <c:showPercent val="0"/>
          <c:showBubbleSize val="0"/>
        </c:dLbls>
        <c:gapWidth val="219"/>
        <c:overlap val="-27"/>
        <c:axId val="1830804208"/>
        <c:axId val="1830807088"/>
      </c:barChart>
      <c:catAx>
        <c:axId val="1830804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807088"/>
        <c:crosses val="autoZero"/>
        <c:auto val="1"/>
        <c:lblAlgn val="ctr"/>
        <c:lblOffset val="100"/>
        <c:noMultiLvlLbl val="0"/>
      </c:catAx>
      <c:valAx>
        <c:axId val="1830807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804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project.xlsx]MedicalAnalysis!PivotTable8</c:name>
    <c:fmtId val="3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b="1" i="0" u="none" strike="noStrike" kern="1200" cap="all" spc="120" normalizeH="0" baseline="0">
                <a:solidFill>
                  <a:sysClr val="windowText" lastClr="000000">
                    <a:lumMod val="75000"/>
                    <a:lumOff val="25000"/>
                  </a:sysClr>
                </a:solidFill>
              </a:rPr>
              <a:t>Region by Avg Bmi &amp; Charges</a:t>
            </a:r>
            <a:endParaRPr lang="en-IN"/>
          </a:p>
        </c:rich>
      </c:tx>
      <c:layout>
        <c:manualLayout>
          <c:xMode val="edge"/>
          <c:yMode val="edge"/>
          <c:x val="0.15716170207090235"/>
          <c:y val="4.9440356115020873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8.3642033173176762E-3"/>
              <c:y val="-9.67523567742249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5761355448784508E-3"/>
              <c:y val="-0.304078835576135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3639109958024451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5.5761370546355419E-3"/>
              <c:y val="-0.3132517850352096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chemeClr val="accent1"/>
          </a:solidFill>
          <a:ln>
            <a:noFill/>
          </a:ln>
          <a:effectLst/>
        </c:spPr>
        <c:dLbl>
          <c:idx val="0"/>
          <c:layout>
            <c:manualLayout>
              <c:x val="-6.3892481693664907E-18"/>
              <c:y val="-0.32250785591408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5.98943160983297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5.585566368733151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0134011789852681E-16"/>
              <c:y val="-6.51649409685534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MedicalAnalysis!$B$62</c:f>
              <c:strCache>
                <c:ptCount val="1"/>
                <c:pt idx="0">
                  <c:v>Average of bmi</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3-3648-4CC6-AA32-84E8CC8971E6}"/>
              </c:ext>
            </c:extLst>
          </c:dPt>
          <c:dPt>
            <c:idx val="1"/>
            <c:invertIfNegative val="0"/>
            <c:bubble3D val="0"/>
            <c:extLst>
              <c:ext xmlns:c16="http://schemas.microsoft.com/office/drawing/2014/chart" uri="{C3380CC4-5D6E-409C-BE32-E72D297353CC}">
                <c16:uniqueId val="{00000008-3648-4CC6-AA32-84E8CC8971E6}"/>
              </c:ext>
            </c:extLst>
          </c:dPt>
          <c:dPt>
            <c:idx val="2"/>
            <c:invertIfNegative val="0"/>
            <c:bubble3D val="0"/>
            <c:extLst>
              <c:ext xmlns:c16="http://schemas.microsoft.com/office/drawing/2014/chart" uri="{C3380CC4-5D6E-409C-BE32-E72D297353CC}">
                <c16:uniqueId val="{00000009-3648-4CC6-AA32-84E8CC8971E6}"/>
              </c:ext>
            </c:extLst>
          </c:dPt>
          <c:dPt>
            <c:idx val="3"/>
            <c:invertIfNegative val="0"/>
            <c:bubble3D val="0"/>
            <c:extLst>
              <c:ext xmlns:c16="http://schemas.microsoft.com/office/drawing/2014/chart" uri="{C3380CC4-5D6E-409C-BE32-E72D297353CC}">
                <c16:uniqueId val="{0000000A-3648-4CC6-AA32-84E8CC8971E6}"/>
              </c:ext>
            </c:extLst>
          </c:dPt>
          <c:dLbls>
            <c:dLbl>
              <c:idx val="0"/>
              <c:layout>
                <c:manualLayout>
                  <c:x val="-8.3642033173176762E-3"/>
                  <c:y val="-9.675235677422490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648-4CC6-AA32-84E8CC8971E6}"/>
                </c:ext>
              </c:extLst>
            </c:dLbl>
            <c:dLbl>
              <c:idx val="1"/>
              <c:layout>
                <c:manualLayout>
                  <c:x val="0"/>
                  <c:y val="-5.9894316098329708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648-4CC6-AA32-84E8CC8971E6}"/>
                </c:ext>
              </c:extLst>
            </c:dLbl>
            <c:dLbl>
              <c:idx val="2"/>
              <c:layout>
                <c:manualLayout>
                  <c:x val="0"/>
                  <c:y val="-5.5855663687331518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648-4CC6-AA32-84E8CC8971E6}"/>
                </c:ext>
              </c:extLst>
            </c:dLbl>
            <c:dLbl>
              <c:idx val="3"/>
              <c:layout>
                <c:manualLayout>
                  <c:x val="-1.0134011789852681E-16"/>
                  <c:y val="-6.516494096855342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648-4CC6-AA32-84E8CC8971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MedicalAnalysis!$A$63:$A$67</c:f>
              <c:strCache>
                <c:ptCount val="4"/>
                <c:pt idx="0">
                  <c:v>northeast</c:v>
                </c:pt>
                <c:pt idx="1">
                  <c:v>northwest</c:v>
                </c:pt>
                <c:pt idx="2">
                  <c:v>southeast</c:v>
                </c:pt>
                <c:pt idx="3">
                  <c:v>southwest</c:v>
                </c:pt>
              </c:strCache>
            </c:strRef>
          </c:cat>
          <c:val>
            <c:numRef>
              <c:f>MedicalAnalysis!$B$63:$B$67</c:f>
              <c:numCache>
                <c:formatCode>0.00</c:formatCode>
                <c:ptCount val="4"/>
                <c:pt idx="0">
                  <c:v>34.581993006993002</c:v>
                </c:pt>
                <c:pt idx="1">
                  <c:v>33.72307432432433</c:v>
                </c:pt>
                <c:pt idx="2">
                  <c:v>36.903415637860085</c:v>
                </c:pt>
                <c:pt idx="3">
                  <c:v>34.848837209302317</c:v>
                </c:pt>
              </c:numCache>
            </c:numRef>
          </c:val>
          <c:extLst>
            <c:ext xmlns:c16="http://schemas.microsoft.com/office/drawing/2014/chart" uri="{C3380CC4-5D6E-409C-BE32-E72D297353CC}">
              <c16:uniqueId val="{00000000-3648-4CC6-AA32-84E8CC8971E6}"/>
            </c:ext>
          </c:extLst>
        </c:ser>
        <c:ser>
          <c:idx val="1"/>
          <c:order val="1"/>
          <c:tx>
            <c:strRef>
              <c:f>MedicalAnalysis!$C$62</c:f>
              <c:strCache>
                <c:ptCount val="1"/>
                <c:pt idx="0">
                  <c:v>Average of charges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7-3648-4CC6-AA32-84E8CC8971E6}"/>
              </c:ext>
            </c:extLst>
          </c:dPt>
          <c:dPt>
            <c:idx val="1"/>
            <c:invertIfNegative val="0"/>
            <c:bubble3D val="0"/>
            <c:extLst>
              <c:ext xmlns:c16="http://schemas.microsoft.com/office/drawing/2014/chart" uri="{C3380CC4-5D6E-409C-BE32-E72D297353CC}">
                <c16:uniqueId val="{00000006-3648-4CC6-AA32-84E8CC8971E6}"/>
              </c:ext>
            </c:extLst>
          </c:dPt>
          <c:dPt>
            <c:idx val="2"/>
            <c:invertIfNegative val="0"/>
            <c:bubble3D val="0"/>
            <c:extLst>
              <c:ext xmlns:c16="http://schemas.microsoft.com/office/drawing/2014/chart" uri="{C3380CC4-5D6E-409C-BE32-E72D297353CC}">
                <c16:uniqueId val="{00000005-3648-4CC6-AA32-84E8CC8971E6}"/>
              </c:ext>
            </c:extLst>
          </c:dPt>
          <c:dPt>
            <c:idx val="3"/>
            <c:invertIfNegative val="0"/>
            <c:bubble3D val="0"/>
            <c:extLst>
              <c:ext xmlns:c16="http://schemas.microsoft.com/office/drawing/2014/chart" uri="{C3380CC4-5D6E-409C-BE32-E72D297353CC}">
                <c16:uniqueId val="{00000004-3648-4CC6-AA32-84E8CC8971E6}"/>
              </c:ext>
            </c:extLst>
          </c:dPt>
          <c:dLbls>
            <c:dLbl>
              <c:idx val="0"/>
              <c:layout>
                <c:manualLayout>
                  <c:x val="-6.3892481693664907E-18"/>
                  <c:y val="-0.322507855914083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648-4CC6-AA32-84E8CC8971E6}"/>
                </c:ext>
              </c:extLst>
            </c:dLbl>
            <c:dLbl>
              <c:idx val="1"/>
              <c:layout>
                <c:manualLayout>
                  <c:x val="-5.5761370546355419E-3"/>
                  <c:y val="-0.3132517850352096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6-3648-4CC6-AA32-84E8CC8971E6}"/>
                </c:ext>
              </c:extLst>
            </c:dLbl>
            <c:dLbl>
              <c:idx val="2"/>
              <c:layout>
                <c:manualLayout>
                  <c:x val="0"/>
                  <c:y val="-0.3639109958024451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648-4CC6-AA32-84E8CC8971E6}"/>
                </c:ext>
              </c:extLst>
            </c:dLbl>
            <c:dLbl>
              <c:idx val="3"/>
              <c:layout>
                <c:manualLayout>
                  <c:x val="-5.5761355448784508E-3"/>
                  <c:y val="-0.3040788355761354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648-4CC6-AA32-84E8CC8971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MedicalAnalysis!$A$63:$A$67</c:f>
              <c:strCache>
                <c:ptCount val="4"/>
                <c:pt idx="0">
                  <c:v>northeast</c:v>
                </c:pt>
                <c:pt idx="1">
                  <c:v>northwest</c:v>
                </c:pt>
                <c:pt idx="2">
                  <c:v>southeast</c:v>
                </c:pt>
                <c:pt idx="3">
                  <c:v>southwest</c:v>
                </c:pt>
              </c:strCache>
            </c:strRef>
          </c:cat>
          <c:val>
            <c:numRef>
              <c:f>MedicalAnalysis!$C$63:$C$67</c:f>
              <c:numCache>
                <c:formatCode>"₹"\ #,##0.00</c:formatCode>
                <c:ptCount val="4"/>
                <c:pt idx="0">
                  <c:v>16565.816923356644</c:v>
                </c:pt>
                <c:pt idx="1">
                  <c:v>14309.98529324324</c:v>
                </c:pt>
                <c:pt idx="2">
                  <c:v>16282.346012757203</c:v>
                </c:pt>
                <c:pt idx="3">
                  <c:v>14623.627819476738</c:v>
                </c:pt>
              </c:numCache>
            </c:numRef>
          </c:val>
          <c:extLst>
            <c:ext xmlns:c16="http://schemas.microsoft.com/office/drawing/2014/chart" uri="{C3380CC4-5D6E-409C-BE32-E72D297353CC}">
              <c16:uniqueId val="{00000001-3648-4CC6-AA32-84E8CC8971E6}"/>
            </c:ext>
          </c:extLst>
        </c:ser>
        <c:dLbls>
          <c:dLblPos val="ctr"/>
          <c:showLegendKey val="0"/>
          <c:showVal val="1"/>
          <c:showCatName val="0"/>
          <c:showSerName val="0"/>
          <c:showPercent val="0"/>
          <c:showBubbleSize val="0"/>
        </c:dLbls>
        <c:gapWidth val="79"/>
        <c:overlap val="100"/>
        <c:axId val="1829714224"/>
        <c:axId val="1829718544"/>
      </c:barChart>
      <c:catAx>
        <c:axId val="1829714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29718544"/>
        <c:crosses val="autoZero"/>
        <c:auto val="1"/>
        <c:lblAlgn val="ctr"/>
        <c:lblOffset val="100"/>
        <c:noMultiLvlLbl val="0"/>
      </c:catAx>
      <c:valAx>
        <c:axId val="1829718544"/>
        <c:scaling>
          <c:orientation val="minMax"/>
        </c:scaling>
        <c:delete val="1"/>
        <c:axPos val="l"/>
        <c:numFmt formatCode="0.00" sourceLinked="1"/>
        <c:majorTickMark val="none"/>
        <c:minorTickMark val="none"/>
        <c:tickLblPos val="nextTo"/>
        <c:crossAx val="1829714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project.xlsx]MedicalAnalysis!PivotTable2</c:name>
    <c:fmtId val="5"/>
  </c:pivotSource>
  <c:chart>
    <c:title>
      <c:tx>
        <c:rich>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N" sz="1200" b="1" i="0" u="none" strike="noStrike" kern="1200" cap="all" spc="120" normalizeH="0" baseline="0">
                <a:solidFill>
                  <a:sysClr val="windowText" lastClr="000000">
                    <a:lumMod val="65000"/>
                    <a:lumOff val="35000"/>
                  </a:sysClr>
                </a:solidFill>
                <a:latin typeface="Poppins" panose="00000500000000000000" pitchFamily="2" charset="0"/>
                <a:cs typeface="Poppins" panose="00000500000000000000" pitchFamily="2" charset="0"/>
              </a:rPr>
              <a:t>GENDER Average Bmi &amp; Charges</a:t>
            </a:r>
          </a:p>
        </c:rich>
      </c:tx>
      <c:overlay val="0"/>
      <c:spPr>
        <a:noFill/>
        <a:ln>
          <a:noFill/>
        </a:ln>
        <a:effectLst/>
      </c:spPr>
      <c:txPr>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MedicalAnalysis!$B$6</c:f>
              <c:strCache>
                <c:ptCount val="1"/>
                <c:pt idx="0">
                  <c:v>Average of charges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MedicalAnalysis!$A$7:$A$9</c:f>
              <c:strCache>
                <c:ptCount val="2"/>
                <c:pt idx="0">
                  <c:v>female</c:v>
                </c:pt>
                <c:pt idx="1">
                  <c:v>male</c:v>
                </c:pt>
              </c:strCache>
            </c:strRef>
          </c:cat>
          <c:val>
            <c:numRef>
              <c:f>MedicalAnalysis!$B$7:$B$9</c:f>
              <c:numCache>
                <c:formatCode>"₹"\ #,##0.00</c:formatCode>
                <c:ptCount val="2"/>
                <c:pt idx="0">
                  <c:v>14370.66653245508</c:v>
                </c:pt>
                <c:pt idx="1">
                  <c:v>16556.078192607511</c:v>
                </c:pt>
              </c:numCache>
            </c:numRef>
          </c:val>
          <c:extLst>
            <c:ext xmlns:c16="http://schemas.microsoft.com/office/drawing/2014/chart" uri="{C3380CC4-5D6E-409C-BE32-E72D297353CC}">
              <c16:uniqueId val="{00000000-C82A-424B-BC27-295575731B83}"/>
            </c:ext>
          </c:extLst>
        </c:ser>
        <c:ser>
          <c:idx val="1"/>
          <c:order val="1"/>
          <c:tx>
            <c:strRef>
              <c:f>MedicalAnalysis!$C$6</c:f>
              <c:strCache>
                <c:ptCount val="1"/>
                <c:pt idx="0">
                  <c:v>Average of bmi</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MedicalAnalysis!$A$7:$A$9</c:f>
              <c:strCache>
                <c:ptCount val="2"/>
                <c:pt idx="0">
                  <c:v>female</c:v>
                </c:pt>
                <c:pt idx="1">
                  <c:v>male</c:v>
                </c:pt>
              </c:strCache>
            </c:strRef>
          </c:cat>
          <c:val>
            <c:numRef>
              <c:f>MedicalAnalysis!$C$7:$C$9</c:f>
              <c:numCache>
                <c:formatCode>General</c:formatCode>
                <c:ptCount val="2"/>
                <c:pt idx="0">
                  <c:v>35.210613772455105</c:v>
                </c:pt>
                <c:pt idx="1">
                  <c:v>35.315658602150549</c:v>
                </c:pt>
              </c:numCache>
            </c:numRef>
          </c:val>
          <c:extLst>
            <c:ext xmlns:c16="http://schemas.microsoft.com/office/drawing/2014/chart" uri="{C3380CC4-5D6E-409C-BE32-E72D297353CC}">
              <c16:uniqueId val="{00000001-C82A-424B-BC27-295575731B83}"/>
            </c:ext>
          </c:extLst>
        </c:ser>
        <c:dLbls>
          <c:dLblPos val="ctr"/>
          <c:showLegendKey val="0"/>
          <c:showVal val="1"/>
          <c:showCatName val="0"/>
          <c:showSerName val="0"/>
          <c:showPercent val="0"/>
          <c:showBubbleSize val="0"/>
        </c:dLbls>
        <c:gapWidth val="79"/>
        <c:overlap val="100"/>
        <c:axId val="220960912"/>
        <c:axId val="220963792"/>
      </c:barChart>
      <c:catAx>
        <c:axId val="2209609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20963792"/>
        <c:crosses val="autoZero"/>
        <c:auto val="1"/>
        <c:lblAlgn val="ctr"/>
        <c:lblOffset val="100"/>
        <c:noMultiLvlLbl val="0"/>
      </c:catAx>
      <c:valAx>
        <c:axId val="220963792"/>
        <c:scaling>
          <c:orientation val="minMax"/>
        </c:scaling>
        <c:delete val="1"/>
        <c:axPos val="l"/>
        <c:numFmt formatCode="0%" sourceLinked="1"/>
        <c:majorTickMark val="none"/>
        <c:minorTickMark val="none"/>
        <c:tickLblPos val="nextTo"/>
        <c:crossAx val="220960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project.xlsx]MedicalAnalysis!PivotTable3</c:name>
    <c:fmtId val="1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b="1" i="0" u="none" strike="noStrike" kern="1200" cap="all" spc="50" baseline="0">
                <a:solidFill>
                  <a:sysClr val="windowText" lastClr="000000">
                    <a:lumMod val="65000"/>
                    <a:lumOff val="35000"/>
                  </a:sysClr>
                </a:solidFill>
              </a:rPr>
              <a:t>Impact of smoking on costs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MedicalAnalysis!$B$21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71B-43CC-8497-7F2301ACD9E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71B-43CC-8497-7F2301ACD9E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MedicalAnalysis!$A$22:$A$24</c:f>
              <c:strCache>
                <c:ptCount val="2"/>
                <c:pt idx="0">
                  <c:v>no</c:v>
                </c:pt>
                <c:pt idx="1">
                  <c:v>yes</c:v>
                </c:pt>
              </c:strCache>
            </c:strRef>
          </c:cat>
          <c:val>
            <c:numRef>
              <c:f>MedicalAnalysis!$B$22:$B$24</c:f>
              <c:numCache>
                <c:formatCode>"₹"\ #,##0.00</c:formatCode>
                <c:ptCount val="2"/>
                <c:pt idx="0">
                  <c:v>8842.6915475266815</c:v>
                </c:pt>
                <c:pt idx="1">
                  <c:v>41590.7712484722</c:v>
                </c:pt>
              </c:numCache>
            </c:numRef>
          </c:val>
          <c:extLst>
            <c:ext xmlns:c16="http://schemas.microsoft.com/office/drawing/2014/chart" uri="{C3380CC4-5D6E-409C-BE32-E72D297353CC}">
              <c16:uniqueId val="{00000004-971B-43CC-8497-7F2301ACD9E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project.xlsx]MedicalAnalysis!PivotTable3</c:name>
    <c:fmtId val="15"/>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b="1" i="0" u="none" strike="noStrike" kern="1200" cap="all" spc="50" baseline="0">
                <a:solidFill>
                  <a:sysClr val="windowText" lastClr="000000">
                    <a:lumMod val="65000"/>
                    <a:lumOff val="35000"/>
                  </a:sysClr>
                </a:solidFill>
              </a:rPr>
              <a:t>Impact of smoking on costs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MedicalAnalysis!$B$21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MedicalAnalysis!$A$22:$A$24</c:f>
              <c:strCache>
                <c:ptCount val="2"/>
                <c:pt idx="0">
                  <c:v>no</c:v>
                </c:pt>
                <c:pt idx="1">
                  <c:v>yes</c:v>
                </c:pt>
              </c:strCache>
            </c:strRef>
          </c:cat>
          <c:val>
            <c:numRef>
              <c:f>MedicalAnalysis!$B$22:$B$24</c:f>
              <c:numCache>
                <c:formatCode>"₹"\ #,##0.00</c:formatCode>
                <c:ptCount val="2"/>
                <c:pt idx="0">
                  <c:v>8842.6915475266815</c:v>
                </c:pt>
                <c:pt idx="1">
                  <c:v>41590.7712484722</c:v>
                </c:pt>
              </c:numCache>
            </c:numRef>
          </c:val>
          <c:extLst>
            <c:ext xmlns:c16="http://schemas.microsoft.com/office/drawing/2014/chart" uri="{C3380CC4-5D6E-409C-BE32-E72D297353CC}">
              <c16:uniqueId val="{00000000-A0CE-4951-BE0C-12EA87350BFF}"/>
            </c:ext>
          </c:extLst>
        </c:ser>
        <c:dLbls>
          <c:dLblPos val="ctr"/>
          <c:showLegendKey val="0"/>
          <c:showVal val="1"/>
          <c:showCatName val="0"/>
          <c:showSerName val="0"/>
          <c:showPercent val="0"/>
          <c:showBubbleSize val="0"/>
        </c:dLbls>
        <c:gapWidth val="79"/>
        <c:overlap val="100"/>
        <c:axId val="1271427632"/>
        <c:axId val="402868928"/>
      </c:barChart>
      <c:catAx>
        <c:axId val="12714276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402868928"/>
        <c:crosses val="autoZero"/>
        <c:auto val="1"/>
        <c:lblAlgn val="ctr"/>
        <c:lblOffset val="100"/>
        <c:noMultiLvlLbl val="0"/>
      </c:catAx>
      <c:valAx>
        <c:axId val="402868928"/>
        <c:scaling>
          <c:orientation val="minMax"/>
        </c:scaling>
        <c:delete val="1"/>
        <c:axPos val="l"/>
        <c:numFmt formatCode="&quot;₹&quot;\ #,##0.00" sourceLinked="1"/>
        <c:majorTickMark val="none"/>
        <c:minorTickMark val="none"/>
        <c:tickLblPos val="nextTo"/>
        <c:crossAx val="1271427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project.xlsx]MedicalAnalysis!PivotTable7</c:name>
    <c:fmtId val="23"/>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sz="1400" b="1" i="0" u="none" strike="noStrike" kern="1200" baseline="0">
                <a:solidFill>
                  <a:srgbClr val="44546A"/>
                </a:solidFill>
              </a:rPr>
              <a:t>Gender Children Charges </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MedicalAnalysis!$B$37</c:f>
              <c:strCache>
                <c:ptCount val="1"/>
                <c:pt idx="0">
                  <c:v>Sum of charges</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MedicalAnalysis!$A$38:$A$40</c:f>
              <c:strCache>
                <c:ptCount val="2"/>
                <c:pt idx="0">
                  <c:v>female</c:v>
                </c:pt>
                <c:pt idx="1">
                  <c:v>male</c:v>
                </c:pt>
              </c:strCache>
            </c:strRef>
          </c:cat>
          <c:val>
            <c:numRef>
              <c:f>MedicalAnalysis!$B$38:$B$40</c:f>
              <c:numCache>
                <c:formatCode>"₹"\ #,##0.00</c:formatCode>
                <c:ptCount val="2"/>
                <c:pt idx="0">
                  <c:v>4799802.6218399964</c:v>
                </c:pt>
                <c:pt idx="1">
                  <c:v>6158861.0876499936</c:v>
                </c:pt>
              </c:numCache>
            </c:numRef>
          </c:val>
          <c:smooth val="0"/>
          <c:extLst>
            <c:ext xmlns:c16="http://schemas.microsoft.com/office/drawing/2014/chart" uri="{C3380CC4-5D6E-409C-BE32-E72D297353CC}">
              <c16:uniqueId val="{00000000-5490-4AAE-9A39-97A4D4A46631}"/>
            </c:ext>
          </c:extLst>
        </c:ser>
        <c:ser>
          <c:idx val="1"/>
          <c:order val="1"/>
          <c:tx>
            <c:strRef>
              <c:f>MedicalAnalysis!$C$37</c:f>
              <c:strCache>
                <c:ptCount val="1"/>
                <c:pt idx="0">
                  <c:v>Sum of children</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MedicalAnalysis!$A$38:$A$40</c:f>
              <c:strCache>
                <c:ptCount val="2"/>
                <c:pt idx="0">
                  <c:v>female</c:v>
                </c:pt>
                <c:pt idx="1">
                  <c:v>male</c:v>
                </c:pt>
              </c:strCache>
            </c:strRef>
          </c:cat>
          <c:val>
            <c:numRef>
              <c:f>MedicalAnalysis!$C$38:$C$40</c:f>
              <c:numCache>
                <c:formatCode>General</c:formatCode>
                <c:ptCount val="2"/>
                <c:pt idx="0">
                  <c:v>373</c:v>
                </c:pt>
                <c:pt idx="1">
                  <c:v>409</c:v>
                </c:pt>
              </c:numCache>
            </c:numRef>
          </c:val>
          <c:smooth val="0"/>
          <c:extLst>
            <c:ext xmlns:c16="http://schemas.microsoft.com/office/drawing/2014/chart" uri="{C3380CC4-5D6E-409C-BE32-E72D297353CC}">
              <c16:uniqueId val="{00000001-5490-4AAE-9A39-97A4D4A46631}"/>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626549232"/>
        <c:axId val="990780064"/>
      </c:lineChart>
      <c:catAx>
        <c:axId val="1626549232"/>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90780064"/>
        <c:crosses val="autoZero"/>
        <c:auto val="1"/>
        <c:lblAlgn val="ctr"/>
        <c:lblOffset val="100"/>
        <c:noMultiLvlLbl val="0"/>
      </c:catAx>
      <c:valAx>
        <c:axId val="990780064"/>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626549232"/>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project.xlsx]MedicalAnalysis!PivotTable8</c:name>
    <c:fmtId val="3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kern="1200" cap="all" spc="120" normalizeH="0" baseline="0">
                <a:solidFill>
                  <a:sysClr val="windowText" lastClr="000000">
                    <a:lumMod val="65000"/>
                    <a:lumOff val="35000"/>
                  </a:sysClr>
                </a:solidFill>
              </a:rPr>
              <a:t> </a:t>
            </a:r>
            <a:r>
              <a:rPr lang="en-US" sz="1800" b="1" i="0" u="none" strike="noStrike" kern="1200" cap="all" spc="120" normalizeH="0" baseline="0">
                <a:solidFill>
                  <a:sysClr val="windowText" lastClr="000000">
                    <a:lumMod val="75000"/>
                    <a:lumOff val="25000"/>
                  </a:sysClr>
                </a:solidFill>
              </a:rPr>
              <a:t>Region by Avg Bmi &amp; Charges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MedicalAnalysis!$B$62</c:f>
              <c:strCache>
                <c:ptCount val="1"/>
                <c:pt idx="0">
                  <c:v>Average of bmi</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B80-4F9E-B774-887C223BEF6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B80-4F9E-B774-887C223BEF6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B80-4F9E-B774-887C223BEF6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B80-4F9E-B774-887C223BEF6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MedicalAnalysis!$A$63:$A$67</c:f>
              <c:strCache>
                <c:ptCount val="4"/>
                <c:pt idx="0">
                  <c:v>northeast</c:v>
                </c:pt>
                <c:pt idx="1">
                  <c:v>northwest</c:v>
                </c:pt>
                <c:pt idx="2">
                  <c:v>southeast</c:v>
                </c:pt>
                <c:pt idx="3">
                  <c:v>southwest</c:v>
                </c:pt>
              </c:strCache>
            </c:strRef>
          </c:cat>
          <c:val>
            <c:numRef>
              <c:f>MedicalAnalysis!$B$63:$B$67</c:f>
              <c:numCache>
                <c:formatCode>0.00</c:formatCode>
                <c:ptCount val="4"/>
                <c:pt idx="0">
                  <c:v>34.581993006993002</c:v>
                </c:pt>
                <c:pt idx="1">
                  <c:v>33.72307432432433</c:v>
                </c:pt>
                <c:pt idx="2">
                  <c:v>36.903415637860085</c:v>
                </c:pt>
                <c:pt idx="3">
                  <c:v>34.848837209302317</c:v>
                </c:pt>
              </c:numCache>
            </c:numRef>
          </c:val>
          <c:extLst>
            <c:ext xmlns:c16="http://schemas.microsoft.com/office/drawing/2014/chart" uri="{C3380CC4-5D6E-409C-BE32-E72D297353CC}">
              <c16:uniqueId val="{00000008-9B80-4F9E-B774-887C223BEF68}"/>
            </c:ext>
          </c:extLst>
        </c:ser>
        <c:ser>
          <c:idx val="1"/>
          <c:order val="1"/>
          <c:tx>
            <c:strRef>
              <c:f>MedicalAnalysis!$C$62</c:f>
              <c:strCache>
                <c:ptCount val="1"/>
                <c:pt idx="0">
                  <c:v>Average of charges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9B80-4F9E-B774-887C223BEF6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9B80-4F9E-B774-887C223BEF6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9B80-4F9E-B774-887C223BEF6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9B80-4F9E-B774-887C223BEF6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MedicalAnalysis!$A$63:$A$67</c:f>
              <c:strCache>
                <c:ptCount val="4"/>
                <c:pt idx="0">
                  <c:v>northeast</c:v>
                </c:pt>
                <c:pt idx="1">
                  <c:v>northwest</c:v>
                </c:pt>
                <c:pt idx="2">
                  <c:v>southeast</c:v>
                </c:pt>
                <c:pt idx="3">
                  <c:v>southwest</c:v>
                </c:pt>
              </c:strCache>
            </c:strRef>
          </c:cat>
          <c:val>
            <c:numRef>
              <c:f>MedicalAnalysis!$C$63:$C$67</c:f>
              <c:numCache>
                <c:formatCode>"₹"\ #,##0.00</c:formatCode>
                <c:ptCount val="4"/>
                <c:pt idx="0">
                  <c:v>16565.816923356644</c:v>
                </c:pt>
                <c:pt idx="1">
                  <c:v>14309.98529324324</c:v>
                </c:pt>
                <c:pt idx="2">
                  <c:v>16282.346012757203</c:v>
                </c:pt>
                <c:pt idx="3">
                  <c:v>14623.627819476738</c:v>
                </c:pt>
              </c:numCache>
            </c:numRef>
          </c:val>
          <c:extLst>
            <c:ext xmlns:c16="http://schemas.microsoft.com/office/drawing/2014/chart" uri="{C3380CC4-5D6E-409C-BE32-E72D297353CC}">
              <c16:uniqueId val="{00000011-9B80-4F9E-B774-887C223BEF68}"/>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project.xlsx]MedicalAnalysis!PivotTable8</c:name>
    <c:fmtId val="4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b="1" i="0" u="none" strike="noStrike" kern="1200" cap="all" spc="120" normalizeH="0" baseline="0">
                <a:solidFill>
                  <a:sysClr val="windowText" lastClr="000000">
                    <a:lumMod val="75000"/>
                    <a:lumOff val="25000"/>
                  </a:sysClr>
                </a:solidFill>
              </a:rPr>
              <a:t>Region by Avg Bmi &amp; Charges</a:t>
            </a:r>
            <a:endParaRPr lang="en-IN"/>
          </a:p>
        </c:rich>
      </c:tx>
      <c:layout>
        <c:manualLayout>
          <c:xMode val="edge"/>
          <c:yMode val="edge"/>
          <c:x val="0.15716170207090235"/>
          <c:y val="4.9440356115020873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square"/>
          <c:size val="6"/>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8.3642033173176762E-3"/>
              <c:y val="-9.67523567742249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5.5761355448784508E-3"/>
              <c:y val="-0.304078835576135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0"/>
              <c:y val="-0.3639109958024451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5.5761370546355419E-3"/>
              <c:y val="-0.3132517850352096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6.3892481693664907E-18"/>
              <c:y val="-0.32250785591408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5.98943160983297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5.585566368733151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0134011789852681E-16"/>
              <c:y val="-6.51649409685534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8.3642033173176762E-3"/>
              <c:y val="-9.67523567742249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0"/>
              <c:y val="-5.98943160983297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0"/>
              <c:y val="-5.585566368733151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1.0134011789852681E-16"/>
              <c:y val="-6.51649409685534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6.3892481693664907E-18"/>
              <c:y val="-0.32250785591408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5.5761370546355419E-3"/>
              <c:y val="-0.31325178503520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0"/>
              <c:y val="-0.3639109958024451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5.5761355448784508E-3"/>
              <c:y val="-0.304078835576135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8.3642033173176762E-3"/>
              <c:y val="-9.67523567742249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0"/>
              <c:y val="-5.98943160983297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0"/>
              <c:y val="-5.585566368733151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1.0134011789852681E-16"/>
              <c:y val="-6.51649409685534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0"/>
              <c:y val="-0.3363632231141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dLbl>
          <c:idx val="0"/>
          <c:layout>
            <c:manualLayout>
              <c:x val="-5.5761370546355419E-3"/>
              <c:y val="-0.31325178503520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layout>
            <c:manualLayout>
              <c:x val="0"/>
              <c:y val="-0.3639109958024451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dLbl>
          <c:idx val="0"/>
          <c:layout>
            <c:manualLayout>
              <c:x val="-5.5761355448784508E-3"/>
              <c:y val="-0.304078835576135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MedicalAnalysis!$B$62</c:f>
              <c:strCache>
                <c:ptCount val="1"/>
                <c:pt idx="0">
                  <c:v>Average of bmi</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063B-4D89-8022-D48E57CA8FD9}"/>
              </c:ext>
            </c:extLst>
          </c:dPt>
          <c:dPt>
            <c:idx val="1"/>
            <c:invertIfNegative val="0"/>
            <c:bubble3D val="0"/>
            <c:extLst>
              <c:ext xmlns:c16="http://schemas.microsoft.com/office/drawing/2014/chart" uri="{C3380CC4-5D6E-409C-BE32-E72D297353CC}">
                <c16:uniqueId val="{00000001-063B-4D89-8022-D48E57CA8FD9}"/>
              </c:ext>
            </c:extLst>
          </c:dPt>
          <c:dPt>
            <c:idx val="2"/>
            <c:invertIfNegative val="0"/>
            <c:bubble3D val="0"/>
            <c:extLst>
              <c:ext xmlns:c16="http://schemas.microsoft.com/office/drawing/2014/chart" uri="{C3380CC4-5D6E-409C-BE32-E72D297353CC}">
                <c16:uniqueId val="{00000002-063B-4D89-8022-D48E57CA8FD9}"/>
              </c:ext>
            </c:extLst>
          </c:dPt>
          <c:dPt>
            <c:idx val="3"/>
            <c:invertIfNegative val="0"/>
            <c:bubble3D val="0"/>
            <c:extLst>
              <c:ext xmlns:c16="http://schemas.microsoft.com/office/drawing/2014/chart" uri="{C3380CC4-5D6E-409C-BE32-E72D297353CC}">
                <c16:uniqueId val="{00000003-063B-4D89-8022-D48E57CA8FD9}"/>
              </c:ext>
            </c:extLst>
          </c:dPt>
          <c:dLbls>
            <c:dLbl>
              <c:idx val="0"/>
              <c:layout>
                <c:manualLayout>
                  <c:x val="-8.3642033173176762E-3"/>
                  <c:y val="-9.675235677422490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63B-4D89-8022-D48E57CA8FD9}"/>
                </c:ext>
              </c:extLst>
            </c:dLbl>
            <c:dLbl>
              <c:idx val="1"/>
              <c:layout>
                <c:manualLayout>
                  <c:x val="0"/>
                  <c:y val="-5.9894316098329708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3B-4D89-8022-D48E57CA8FD9}"/>
                </c:ext>
              </c:extLst>
            </c:dLbl>
            <c:dLbl>
              <c:idx val="2"/>
              <c:layout>
                <c:manualLayout>
                  <c:x val="0"/>
                  <c:y val="-5.5855663687331518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63B-4D89-8022-D48E57CA8FD9}"/>
                </c:ext>
              </c:extLst>
            </c:dLbl>
            <c:dLbl>
              <c:idx val="3"/>
              <c:layout>
                <c:manualLayout>
                  <c:x val="-1.0134011789852681E-16"/>
                  <c:y val="-6.516494096855342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3B-4D89-8022-D48E57CA8FD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MedicalAnalysis!$A$63:$A$67</c:f>
              <c:strCache>
                <c:ptCount val="4"/>
                <c:pt idx="0">
                  <c:v>northeast</c:v>
                </c:pt>
                <c:pt idx="1">
                  <c:v>northwest</c:v>
                </c:pt>
                <c:pt idx="2">
                  <c:v>southeast</c:v>
                </c:pt>
                <c:pt idx="3">
                  <c:v>southwest</c:v>
                </c:pt>
              </c:strCache>
            </c:strRef>
          </c:cat>
          <c:val>
            <c:numRef>
              <c:f>MedicalAnalysis!$B$63:$B$67</c:f>
              <c:numCache>
                <c:formatCode>0.00</c:formatCode>
                <c:ptCount val="4"/>
                <c:pt idx="0">
                  <c:v>34.581993006993002</c:v>
                </c:pt>
                <c:pt idx="1">
                  <c:v>33.72307432432433</c:v>
                </c:pt>
                <c:pt idx="2">
                  <c:v>36.903415637860085</c:v>
                </c:pt>
                <c:pt idx="3">
                  <c:v>34.848837209302317</c:v>
                </c:pt>
              </c:numCache>
            </c:numRef>
          </c:val>
          <c:extLst>
            <c:ext xmlns:c16="http://schemas.microsoft.com/office/drawing/2014/chart" uri="{C3380CC4-5D6E-409C-BE32-E72D297353CC}">
              <c16:uniqueId val="{00000004-063B-4D89-8022-D48E57CA8FD9}"/>
            </c:ext>
          </c:extLst>
        </c:ser>
        <c:ser>
          <c:idx val="1"/>
          <c:order val="1"/>
          <c:tx>
            <c:strRef>
              <c:f>MedicalAnalysis!$C$62</c:f>
              <c:strCache>
                <c:ptCount val="1"/>
                <c:pt idx="0">
                  <c:v>Average of charges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5-063B-4D89-8022-D48E57CA8FD9}"/>
              </c:ext>
            </c:extLst>
          </c:dPt>
          <c:dPt>
            <c:idx val="1"/>
            <c:invertIfNegative val="0"/>
            <c:bubble3D val="0"/>
            <c:extLst>
              <c:ext xmlns:c16="http://schemas.microsoft.com/office/drawing/2014/chart" uri="{C3380CC4-5D6E-409C-BE32-E72D297353CC}">
                <c16:uniqueId val="{00000006-063B-4D89-8022-D48E57CA8FD9}"/>
              </c:ext>
            </c:extLst>
          </c:dPt>
          <c:dPt>
            <c:idx val="2"/>
            <c:invertIfNegative val="0"/>
            <c:bubble3D val="0"/>
            <c:extLst>
              <c:ext xmlns:c16="http://schemas.microsoft.com/office/drawing/2014/chart" uri="{C3380CC4-5D6E-409C-BE32-E72D297353CC}">
                <c16:uniqueId val="{00000007-063B-4D89-8022-D48E57CA8FD9}"/>
              </c:ext>
            </c:extLst>
          </c:dPt>
          <c:dPt>
            <c:idx val="3"/>
            <c:invertIfNegative val="0"/>
            <c:bubble3D val="0"/>
            <c:extLst>
              <c:ext xmlns:c16="http://schemas.microsoft.com/office/drawing/2014/chart" uri="{C3380CC4-5D6E-409C-BE32-E72D297353CC}">
                <c16:uniqueId val="{00000008-063B-4D89-8022-D48E57CA8FD9}"/>
              </c:ext>
            </c:extLst>
          </c:dPt>
          <c:dLbls>
            <c:dLbl>
              <c:idx val="0"/>
              <c:layout>
                <c:manualLayout>
                  <c:x val="0"/>
                  <c:y val="-0.336363223114198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63B-4D89-8022-D48E57CA8FD9}"/>
                </c:ext>
              </c:extLst>
            </c:dLbl>
            <c:dLbl>
              <c:idx val="1"/>
              <c:layout>
                <c:manualLayout>
                  <c:x val="-5.5761370546355419E-3"/>
                  <c:y val="-0.3132517850352096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63B-4D89-8022-D48E57CA8FD9}"/>
                </c:ext>
              </c:extLst>
            </c:dLbl>
            <c:dLbl>
              <c:idx val="2"/>
              <c:layout>
                <c:manualLayout>
                  <c:x val="0"/>
                  <c:y val="-0.3639109958024451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63B-4D89-8022-D48E57CA8FD9}"/>
                </c:ext>
              </c:extLst>
            </c:dLbl>
            <c:dLbl>
              <c:idx val="3"/>
              <c:layout>
                <c:manualLayout>
                  <c:x val="-5.5761355448784508E-3"/>
                  <c:y val="-0.3040788355761354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63B-4D89-8022-D48E57CA8FD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MedicalAnalysis!$A$63:$A$67</c:f>
              <c:strCache>
                <c:ptCount val="4"/>
                <c:pt idx="0">
                  <c:v>northeast</c:v>
                </c:pt>
                <c:pt idx="1">
                  <c:v>northwest</c:v>
                </c:pt>
                <c:pt idx="2">
                  <c:v>southeast</c:v>
                </c:pt>
                <c:pt idx="3">
                  <c:v>southwest</c:v>
                </c:pt>
              </c:strCache>
            </c:strRef>
          </c:cat>
          <c:val>
            <c:numRef>
              <c:f>MedicalAnalysis!$C$63:$C$67</c:f>
              <c:numCache>
                <c:formatCode>"₹"\ #,##0.00</c:formatCode>
                <c:ptCount val="4"/>
                <c:pt idx="0">
                  <c:v>16565.816923356644</c:v>
                </c:pt>
                <c:pt idx="1">
                  <c:v>14309.98529324324</c:v>
                </c:pt>
                <c:pt idx="2">
                  <c:v>16282.346012757203</c:v>
                </c:pt>
                <c:pt idx="3">
                  <c:v>14623.627819476738</c:v>
                </c:pt>
              </c:numCache>
            </c:numRef>
          </c:val>
          <c:extLst>
            <c:ext xmlns:c16="http://schemas.microsoft.com/office/drawing/2014/chart" uri="{C3380CC4-5D6E-409C-BE32-E72D297353CC}">
              <c16:uniqueId val="{00000009-063B-4D89-8022-D48E57CA8FD9}"/>
            </c:ext>
          </c:extLst>
        </c:ser>
        <c:dLbls>
          <c:dLblPos val="ctr"/>
          <c:showLegendKey val="0"/>
          <c:showVal val="1"/>
          <c:showCatName val="0"/>
          <c:showSerName val="0"/>
          <c:showPercent val="0"/>
          <c:showBubbleSize val="0"/>
        </c:dLbls>
        <c:gapWidth val="79"/>
        <c:overlap val="100"/>
        <c:axId val="1829714224"/>
        <c:axId val="1829718544"/>
      </c:barChart>
      <c:catAx>
        <c:axId val="1829714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29718544"/>
        <c:crosses val="autoZero"/>
        <c:auto val="1"/>
        <c:lblAlgn val="ctr"/>
        <c:lblOffset val="100"/>
        <c:noMultiLvlLbl val="0"/>
      </c:catAx>
      <c:valAx>
        <c:axId val="1829718544"/>
        <c:scaling>
          <c:orientation val="minMax"/>
        </c:scaling>
        <c:delete val="1"/>
        <c:axPos val="l"/>
        <c:numFmt formatCode="0.00" sourceLinked="1"/>
        <c:majorTickMark val="none"/>
        <c:minorTickMark val="none"/>
        <c:tickLblPos val="nextTo"/>
        <c:crossAx val="1829714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project.xlsx]MedicalAnalysis!PivotTable9</c:name>
    <c:fmtId val="4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Region</a:t>
            </a:r>
            <a:r>
              <a:rPr lang="en-IN" baseline="0"/>
              <a:t> By Cost Effect of Smoker</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MedicalAnalysis!$B$77</c:f>
              <c:strCache>
                <c:ptCount val="1"/>
                <c:pt idx="0">
                  <c:v>Count of smoker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MedicalAnalysis!$A$78:$A$82</c:f>
              <c:strCache>
                <c:ptCount val="4"/>
                <c:pt idx="0">
                  <c:v>northeast</c:v>
                </c:pt>
                <c:pt idx="1">
                  <c:v>northwest</c:v>
                </c:pt>
                <c:pt idx="2">
                  <c:v>southeast</c:v>
                </c:pt>
                <c:pt idx="3">
                  <c:v>southwest</c:v>
                </c:pt>
              </c:strCache>
            </c:strRef>
          </c:cat>
          <c:val>
            <c:numRef>
              <c:f>MedicalAnalysis!$B$78:$B$82</c:f>
              <c:numCache>
                <c:formatCode>0</c:formatCode>
                <c:ptCount val="4"/>
                <c:pt idx="0">
                  <c:v>143</c:v>
                </c:pt>
                <c:pt idx="1">
                  <c:v>148</c:v>
                </c:pt>
                <c:pt idx="2">
                  <c:v>243</c:v>
                </c:pt>
                <c:pt idx="3">
                  <c:v>172</c:v>
                </c:pt>
              </c:numCache>
            </c:numRef>
          </c:val>
          <c:extLst>
            <c:ext xmlns:c16="http://schemas.microsoft.com/office/drawing/2014/chart" uri="{C3380CC4-5D6E-409C-BE32-E72D297353CC}">
              <c16:uniqueId val="{00000000-FE0B-449F-9C29-FADC48B23FB4}"/>
            </c:ext>
          </c:extLst>
        </c:ser>
        <c:ser>
          <c:idx val="1"/>
          <c:order val="1"/>
          <c:tx>
            <c:strRef>
              <c:f>MedicalAnalysis!$C$77</c:f>
              <c:strCache>
                <c:ptCount val="1"/>
                <c:pt idx="0">
                  <c:v>Sum of charges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MedicalAnalysis!$A$78:$A$82</c:f>
              <c:strCache>
                <c:ptCount val="4"/>
                <c:pt idx="0">
                  <c:v>northeast</c:v>
                </c:pt>
                <c:pt idx="1">
                  <c:v>northwest</c:v>
                </c:pt>
                <c:pt idx="2">
                  <c:v>southeast</c:v>
                </c:pt>
                <c:pt idx="3">
                  <c:v>southwest</c:v>
                </c:pt>
              </c:strCache>
            </c:strRef>
          </c:cat>
          <c:val>
            <c:numRef>
              <c:f>MedicalAnalysis!$C$78:$C$82</c:f>
              <c:numCache>
                <c:formatCode>"₹"\ #,##0.00</c:formatCode>
                <c:ptCount val="4"/>
                <c:pt idx="0">
                  <c:v>2368911.8200400001</c:v>
                </c:pt>
                <c:pt idx="1">
                  <c:v>2117877.8233999996</c:v>
                </c:pt>
                <c:pt idx="2">
                  <c:v>3956610.0811000005</c:v>
                </c:pt>
                <c:pt idx="3">
                  <c:v>2515263.984949999</c:v>
                </c:pt>
              </c:numCache>
            </c:numRef>
          </c:val>
          <c:extLst>
            <c:ext xmlns:c16="http://schemas.microsoft.com/office/drawing/2014/chart" uri="{C3380CC4-5D6E-409C-BE32-E72D297353CC}">
              <c16:uniqueId val="{00000001-FE0B-449F-9C29-FADC48B23FB4}"/>
            </c:ext>
          </c:extLst>
        </c:ser>
        <c:dLbls>
          <c:dLblPos val="outEnd"/>
          <c:showLegendKey val="0"/>
          <c:showVal val="1"/>
          <c:showCatName val="0"/>
          <c:showSerName val="0"/>
          <c:showPercent val="0"/>
          <c:showBubbleSize val="0"/>
        </c:dLbls>
        <c:gapWidth val="100"/>
        <c:overlap val="-24"/>
        <c:axId val="384932016"/>
        <c:axId val="1821478192"/>
      </c:barChart>
      <c:catAx>
        <c:axId val="38493201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21478192"/>
        <c:crosses val="autoZero"/>
        <c:auto val="1"/>
        <c:lblAlgn val="ctr"/>
        <c:lblOffset val="100"/>
        <c:noMultiLvlLbl val="0"/>
      </c:catAx>
      <c:valAx>
        <c:axId val="1821478192"/>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84932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a:t>Corelation</a:t>
            </a:r>
            <a:r>
              <a:rPr lang="en-IN" baseline="0"/>
              <a:t> Of Bmi &amp; Charges</a:t>
            </a:r>
            <a:endParaRPr lang="en-IN"/>
          </a:p>
        </c:rich>
      </c:tx>
      <c:overlay val="0"/>
      <c:spPr>
        <a:noFill/>
        <a:ln>
          <a:noFill/>
        </a:ln>
        <a:effectLst/>
      </c:spPr>
    </c:title>
    <c:autoTitleDeleted val="0"/>
    <c:plotArea>
      <c:layout/>
      <c:scatterChart>
        <c:scatterStyle val="lineMarker"/>
        <c:varyColors val="0"/>
        <c:ser>
          <c:idx val="0"/>
          <c:order val="0"/>
          <c:tx>
            <c:strRef>
              <c:f>'insurance (4)0---'!$H$1</c:f>
              <c:strCache>
                <c:ptCount val="1"/>
                <c:pt idx="0">
                  <c:v>charges</c:v>
                </c:pt>
              </c:strCache>
            </c:strRef>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xVal>
            <c:numRef>
              <c:f>'insurance (4)0---'!$C$2:$C$1339</c:f>
              <c:numCache>
                <c:formatCode>General</c:formatCode>
                <c:ptCount val="1338"/>
                <c:pt idx="0">
                  <c:v>27.9</c:v>
                </c:pt>
                <c:pt idx="1">
                  <c:v>33.770000000000003</c:v>
                </c:pt>
                <c:pt idx="2">
                  <c:v>33</c:v>
                </c:pt>
                <c:pt idx="3">
                  <c:v>22.704999999999998</c:v>
                </c:pt>
                <c:pt idx="4">
                  <c:v>28.88</c:v>
                </c:pt>
                <c:pt idx="5">
                  <c:v>25.74</c:v>
                </c:pt>
                <c:pt idx="6">
                  <c:v>33.44</c:v>
                </c:pt>
                <c:pt idx="7">
                  <c:v>27.74</c:v>
                </c:pt>
                <c:pt idx="8">
                  <c:v>29.83</c:v>
                </c:pt>
                <c:pt idx="9">
                  <c:v>25.84</c:v>
                </c:pt>
                <c:pt idx="10">
                  <c:v>26.22</c:v>
                </c:pt>
                <c:pt idx="11">
                  <c:v>26.29</c:v>
                </c:pt>
                <c:pt idx="12">
                  <c:v>34.4</c:v>
                </c:pt>
                <c:pt idx="13">
                  <c:v>39.82</c:v>
                </c:pt>
                <c:pt idx="14">
                  <c:v>42.13</c:v>
                </c:pt>
                <c:pt idx="15">
                  <c:v>24.6</c:v>
                </c:pt>
                <c:pt idx="16">
                  <c:v>30.78</c:v>
                </c:pt>
                <c:pt idx="17">
                  <c:v>23.844999999999999</c:v>
                </c:pt>
                <c:pt idx="18">
                  <c:v>40.299999999999997</c:v>
                </c:pt>
                <c:pt idx="19">
                  <c:v>18.399999999999999</c:v>
                </c:pt>
                <c:pt idx="20">
                  <c:v>36.005000000000003</c:v>
                </c:pt>
                <c:pt idx="21">
                  <c:v>32.4</c:v>
                </c:pt>
                <c:pt idx="22">
                  <c:v>34.1</c:v>
                </c:pt>
                <c:pt idx="23">
                  <c:v>31.92</c:v>
                </c:pt>
                <c:pt idx="24">
                  <c:v>28.024999999999999</c:v>
                </c:pt>
                <c:pt idx="25">
                  <c:v>27.72</c:v>
                </c:pt>
                <c:pt idx="26">
                  <c:v>23.085000000000001</c:v>
                </c:pt>
                <c:pt idx="27">
                  <c:v>32.774999999999999</c:v>
                </c:pt>
                <c:pt idx="28">
                  <c:v>17.385000000000002</c:v>
                </c:pt>
                <c:pt idx="29">
                  <c:v>36.299999999999997</c:v>
                </c:pt>
                <c:pt idx="30">
                  <c:v>35.6</c:v>
                </c:pt>
                <c:pt idx="31">
                  <c:v>26.315000000000001</c:v>
                </c:pt>
                <c:pt idx="32">
                  <c:v>28.6</c:v>
                </c:pt>
                <c:pt idx="33">
                  <c:v>28.31</c:v>
                </c:pt>
                <c:pt idx="34">
                  <c:v>15</c:v>
                </c:pt>
                <c:pt idx="35">
                  <c:v>20.425000000000001</c:v>
                </c:pt>
                <c:pt idx="36">
                  <c:v>32.965000000000003</c:v>
                </c:pt>
                <c:pt idx="37">
                  <c:v>20.8</c:v>
                </c:pt>
                <c:pt idx="38">
                  <c:v>36.67</c:v>
                </c:pt>
                <c:pt idx="39">
                  <c:v>39.9</c:v>
                </c:pt>
                <c:pt idx="40">
                  <c:v>26.6</c:v>
                </c:pt>
                <c:pt idx="41">
                  <c:v>36.630000000000003</c:v>
                </c:pt>
                <c:pt idx="42">
                  <c:v>21.78</c:v>
                </c:pt>
                <c:pt idx="43">
                  <c:v>30.8</c:v>
                </c:pt>
                <c:pt idx="44">
                  <c:v>37.049999999999997</c:v>
                </c:pt>
                <c:pt idx="45">
                  <c:v>37.299999999999997</c:v>
                </c:pt>
                <c:pt idx="46">
                  <c:v>38.664999999999999</c:v>
                </c:pt>
                <c:pt idx="47">
                  <c:v>34.770000000000003</c:v>
                </c:pt>
                <c:pt idx="48">
                  <c:v>24.53</c:v>
                </c:pt>
                <c:pt idx="49">
                  <c:v>35.200000000000003</c:v>
                </c:pt>
                <c:pt idx="50">
                  <c:v>35.625</c:v>
                </c:pt>
                <c:pt idx="51">
                  <c:v>33.630000000000003</c:v>
                </c:pt>
                <c:pt idx="52">
                  <c:v>28</c:v>
                </c:pt>
                <c:pt idx="53">
                  <c:v>34.43</c:v>
                </c:pt>
                <c:pt idx="54">
                  <c:v>28.69</c:v>
                </c:pt>
                <c:pt idx="55">
                  <c:v>36.954999999999998</c:v>
                </c:pt>
                <c:pt idx="56">
                  <c:v>31.824999999999999</c:v>
                </c:pt>
                <c:pt idx="57">
                  <c:v>31.68</c:v>
                </c:pt>
                <c:pt idx="58">
                  <c:v>22.88</c:v>
                </c:pt>
                <c:pt idx="59">
                  <c:v>37.335000000000001</c:v>
                </c:pt>
                <c:pt idx="60">
                  <c:v>27.36</c:v>
                </c:pt>
                <c:pt idx="61">
                  <c:v>33.659999999999997</c:v>
                </c:pt>
                <c:pt idx="62">
                  <c:v>24.7</c:v>
                </c:pt>
                <c:pt idx="63">
                  <c:v>25.934999999999999</c:v>
                </c:pt>
                <c:pt idx="64">
                  <c:v>22.42</c:v>
                </c:pt>
                <c:pt idx="65">
                  <c:v>28.9</c:v>
                </c:pt>
                <c:pt idx="66">
                  <c:v>39.1</c:v>
                </c:pt>
                <c:pt idx="67">
                  <c:v>26.315000000000001</c:v>
                </c:pt>
                <c:pt idx="68">
                  <c:v>36.19</c:v>
                </c:pt>
                <c:pt idx="69">
                  <c:v>23.98</c:v>
                </c:pt>
                <c:pt idx="70">
                  <c:v>24.75</c:v>
                </c:pt>
                <c:pt idx="71">
                  <c:v>28.5</c:v>
                </c:pt>
                <c:pt idx="72">
                  <c:v>28.1</c:v>
                </c:pt>
                <c:pt idx="73">
                  <c:v>32.01</c:v>
                </c:pt>
                <c:pt idx="74">
                  <c:v>27.4</c:v>
                </c:pt>
                <c:pt idx="75">
                  <c:v>34.01</c:v>
                </c:pt>
                <c:pt idx="76">
                  <c:v>29.59</c:v>
                </c:pt>
                <c:pt idx="77">
                  <c:v>35.53</c:v>
                </c:pt>
                <c:pt idx="78">
                  <c:v>39.805</c:v>
                </c:pt>
                <c:pt idx="79">
                  <c:v>32.965000000000003</c:v>
                </c:pt>
                <c:pt idx="80">
                  <c:v>26.885000000000002</c:v>
                </c:pt>
                <c:pt idx="81">
                  <c:v>38.284999999999997</c:v>
                </c:pt>
                <c:pt idx="82">
                  <c:v>37.619999999999997</c:v>
                </c:pt>
                <c:pt idx="83">
                  <c:v>41.23</c:v>
                </c:pt>
                <c:pt idx="84">
                  <c:v>34.799999999999997</c:v>
                </c:pt>
                <c:pt idx="85">
                  <c:v>22.895</c:v>
                </c:pt>
                <c:pt idx="86">
                  <c:v>31.16</c:v>
                </c:pt>
                <c:pt idx="87">
                  <c:v>27.2</c:v>
                </c:pt>
                <c:pt idx="88">
                  <c:v>27.74</c:v>
                </c:pt>
                <c:pt idx="89">
                  <c:v>26.98</c:v>
                </c:pt>
                <c:pt idx="90">
                  <c:v>39.49</c:v>
                </c:pt>
                <c:pt idx="91">
                  <c:v>24.795000000000002</c:v>
                </c:pt>
                <c:pt idx="92">
                  <c:v>29.83</c:v>
                </c:pt>
                <c:pt idx="93">
                  <c:v>34.770000000000003</c:v>
                </c:pt>
                <c:pt idx="94">
                  <c:v>31.3</c:v>
                </c:pt>
                <c:pt idx="95">
                  <c:v>37.619999999999997</c:v>
                </c:pt>
                <c:pt idx="96">
                  <c:v>30.8</c:v>
                </c:pt>
                <c:pt idx="97">
                  <c:v>38.28</c:v>
                </c:pt>
                <c:pt idx="98">
                  <c:v>19.95</c:v>
                </c:pt>
                <c:pt idx="99">
                  <c:v>19.3</c:v>
                </c:pt>
                <c:pt idx="100">
                  <c:v>31.6</c:v>
                </c:pt>
                <c:pt idx="101">
                  <c:v>25.46</c:v>
                </c:pt>
                <c:pt idx="102">
                  <c:v>30.114999999999998</c:v>
                </c:pt>
                <c:pt idx="103">
                  <c:v>29.92</c:v>
                </c:pt>
                <c:pt idx="104">
                  <c:v>27.5</c:v>
                </c:pt>
                <c:pt idx="105">
                  <c:v>28.024999999999999</c:v>
                </c:pt>
                <c:pt idx="106">
                  <c:v>28.4</c:v>
                </c:pt>
                <c:pt idx="107">
                  <c:v>30.875</c:v>
                </c:pt>
                <c:pt idx="108">
                  <c:v>27.94</c:v>
                </c:pt>
                <c:pt idx="109">
                  <c:v>35.090000000000003</c:v>
                </c:pt>
                <c:pt idx="110">
                  <c:v>33.630000000000003</c:v>
                </c:pt>
                <c:pt idx="111">
                  <c:v>29.7</c:v>
                </c:pt>
                <c:pt idx="112">
                  <c:v>30.8</c:v>
                </c:pt>
                <c:pt idx="113">
                  <c:v>35.72</c:v>
                </c:pt>
                <c:pt idx="114">
                  <c:v>32.204999999999998</c:v>
                </c:pt>
                <c:pt idx="115">
                  <c:v>28.594999999999999</c:v>
                </c:pt>
                <c:pt idx="116">
                  <c:v>49.06</c:v>
                </c:pt>
                <c:pt idx="117">
                  <c:v>27.94</c:v>
                </c:pt>
                <c:pt idx="118">
                  <c:v>27.17</c:v>
                </c:pt>
                <c:pt idx="119">
                  <c:v>23.37</c:v>
                </c:pt>
                <c:pt idx="120">
                  <c:v>37.1</c:v>
                </c:pt>
                <c:pt idx="121">
                  <c:v>23.75</c:v>
                </c:pt>
                <c:pt idx="122">
                  <c:v>28.975000000000001</c:v>
                </c:pt>
                <c:pt idx="123">
                  <c:v>31.35</c:v>
                </c:pt>
                <c:pt idx="124">
                  <c:v>33.914999999999999</c:v>
                </c:pt>
                <c:pt idx="125">
                  <c:v>28.785</c:v>
                </c:pt>
                <c:pt idx="126">
                  <c:v>28.3</c:v>
                </c:pt>
                <c:pt idx="127">
                  <c:v>37.4</c:v>
                </c:pt>
                <c:pt idx="128">
                  <c:v>17.765000000000001</c:v>
                </c:pt>
                <c:pt idx="129">
                  <c:v>34.700000000000003</c:v>
                </c:pt>
                <c:pt idx="130">
                  <c:v>26.504999999999999</c:v>
                </c:pt>
                <c:pt idx="131">
                  <c:v>22.04</c:v>
                </c:pt>
                <c:pt idx="132">
                  <c:v>35.9</c:v>
                </c:pt>
                <c:pt idx="133">
                  <c:v>25.555</c:v>
                </c:pt>
                <c:pt idx="134">
                  <c:v>28.785</c:v>
                </c:pt>
                <c:pt idx="135">
                  <c:v>28.05</c:v>
                </c:pt>
                <c:pt idx="136">
                  <c:v>34.1</c:v>
                </c:pt>
                <c:pt idx="137">
                  <c:v>25.175000000000001</c:v>
                </c:pt>
                <c:pt idx="138">
                  <c:v>31.9</c:v>
                </c:pt>
                <c:pt idx="139">
                  <c:v>36</c:v>
                </c:pt>
                <c:pt idx="140">
                  <c:v>22.42</c:v>
                </c:pt>
                <c:pt idx="141">
                  <c:v>32.49</c:v>
                </c:pt>
                <c:pt idx="142">
                  <c:v>25.3</c:v>
                </c:pt>
                <c:pt idx="143">
                  <c:v>29.734999999999999</c:v>
                </c:pt>
                <c:pt idx="144">
                  <c:v>28.69</c:v>
                </c:pt>
                <c:pt idx="145">
                  <c:v>38.83</c:v>
                </c:pt>
                <c:pt idx="146">
                  <c:v>30.495000000000001</c:v>
                </c:pt>
                <c:pt idx="147">
                  <c:v>37.729999999999997</c:v>
                </c:pt>
                <c:pt idx="148">
                  <c:v>37.43</c:v>
                </c:pt>
                <c:pt idx="149">
                  <c:v>28.4</c:v>
                </c:pt>
                <c:pt idx="150">
                  <c:v>24.13</c:v>
                </c:pt>
                <c:pt idx="151">
                  <c:v>29.7</c:v>
                </c:pt>
                <c:pt idx="152">
                  <c:v>37.145000000000003</c:v>
                </c:pt>
                <c:pt idx="153">
                  <c:v>23.37</c:v>
                </c:pt>
                <c:pt idx="154">
                  <c:v>25.46</c:v>
                </c:pt>
                <c:pt idx="155">
                  <c:v>39.520000000000003</c:v>
                </c:pt>
                <c:pt idx="156">
                  <c:v>24.42</c:v>
                </c:pt>
                <c:pt idx="157">
                  <c:v>25.175000000000001</c:v>
                </c:pt>
                <c:pt idx="158">
                  <c:v>35.53</c:v>
                </c:pt>
                <c:pt idx="159">
                  <c:v>27.83</c:v>
                </c:pt>
                <c:pt idx="160">
                  <c:v>26.6</c:v>
                </c:pt>
                <c:pt idx="161">
                  <c:v>36.85</c:v>
                </c:pt>
                <c:pt idx="162">
                  <c:v>39.6</c:v>
                </c:pt>
                <c:pt idx="163">
                  <c:v>29.8</c:v>
                </c:pt>
                <c:pt idx="164">
                  <c:v>29.64</c:v>
                </c:pt>
                <c:pt idx="165">
                  <c:v>28.215</c:v>
                </c:pt>
                <c:pt idx="166">
                  <c:v>37</c:v>
                </c:pt>
                <c:pt idx="167">
                  <c:v>33.155000000000001</c:v>
                </c:pt>
                <c:pt idx="168">
                  <c:v>31.824999999999999</c:v>
                </c:pt>
                <c:pt idx="169">
                  <c:v>18.905000000000001</c:v>
                </c:pt>
                <c:pt idx="170">
                  <c:v>41.47</c:v>
                </c:pt>
                <c:pt idx="171">
                  <c:v>30.3</c:v>
                </c:pt>
                <c:pt idx="172">
                  <c:v>15.96</c:v>
                </c:pt>
                <c:pt idx="173">
                  <c:v>34.799999999999997</c:v>
                </c:pt>
                <c:pt idx="174">
                  <c:v>33.344999999999999</c:v>
                </c:pt>
                <c:pt idx="175">
                  <c:v>37.700000000000003</c:v>
                </c:pt>
                <c:pt idx="176">
                  <c:v>27.835000000000001</c:v>
                </c:pt>
                <c:pt idx="177">
                  <c:v>29.2</c:v>
                </c:pt>
                <c:pt idx="178">
                  <c:v>28.9</c:v>
                </c:pt>
                <c:pt idx="179">
                  <c:v>33.155000000000001</c:v>
                </c:pt>
                <c:pt idx="180">
                  <c:v>28.594999999999999</c:v>
                </c:pt>
                <c:pt idx="181">
                  <c:v>38.28</c:v>
                </c:pt>
                <c:pt idx="182">
                  <c:v>19.95</c:v>
                </c:pt>
                <c:pt idx="183">
                  <c:v>26.41</c:v>
                </c:pt>
                <c:pt idx="184">
                  <c:v>30.69</c:v>
                </c:pt>
                <c:pt idx="185">
                  <c:v>41.895000000000003</c:v>
                </c:pt>
                <c:pt idx="186">
                  <c:v>29.92</c:v>
                </c:pt>
                <c:pt idx="187">
                  <c:v>30.9</c:v>
                </c:pt>
                <c:pt idx="188">
                  <c:v>32.200000000000003</c:v>
                </c:pt>
                <c:pt idx="189">
                  <c:v>32.11</c:v>
                </c:pt>
                <c:pt idx="190">
                  <c:v>31.57</c:v>
                </c:pt>
                <c:pt idx="191">
                  <c:v>26.2</c:v>
                </c:pt>
                <c:pt idx="192">
                  <c:v>25.74</c:v>
                </c:pt>
                <c:pt idx="193">
                  <c:v>26.6</c:v>
                </c:pt>
                <c:pt idx="194">
                  <c:v>34.43</c:v>
                </c:pt>
                <c:pt idx="195">
                  <c:v>30.59</c:v>
                </c:pt>
                <c:pt idx="196">
                  <c:v>32.799999999999997</c:v>
                </c:pt>
                <c:pt idx="197">
                  <c:v>28.6</c:v>
                </c:pt>
                <c:pt idx="198">
                  <c:v>18.05</c:v>
                </c:pt>
                <c:pt idx="199">
                  <c:v>39.33</c:v>
                </c:pt>
                <c:pt idx="200">
                  <c:v>32.11</c:v>
                </c:pt>
                <c:pt idx="201">
                  <c:v>32.229999999999997</c:v>
                </c:pt>
                <c:pt idx="202">
                  <c:v>24.035</c:v>
                </c:pt>
                <c:pt idx="203">
                  <c:v>36.08</c:v>
                </c:pt>
                <c:pt idx="204">
                  <c:v>22.3</c:v>
                </c:pt>
                <c:pt idx="205">
                  <c:v>28.88</c:v>
                </c:pt>
                <c:pt idx="206">
                  <c:v>26.4</c:v>
                </c:pt>
                <c:pt idx="207">
                  <c:v>27.74</c:v>
                </c:pt>
                <c:pt idx="208">
                  <c:v>31.8</c:v>
                </c:pt>
                <c:pt idx="209">
                  <c:v>41.23</c:v>
                </c:pt>
                <c:pt idx="210">
                  <c:v>33</c:v>
                </c:pt>
                <c:pt idx="211">
                  <c:v>30.875</c:v>
                </c:pt>
                <c:pt idx="212">
                  <c:v>28.5</c:v>
                </c:pt>
                <c:pt idx="213">
                  <c:v>26.73</c:v>
                </c:pt>
                <c:pt idx="214">
                  <c:v>30.9</c:v>
                </c:pt>
                <c:pt idx="215">
                  <c:v>37.1</c:v>
                </c:pt>
                <c:pt idx="216">
                  <c:v>26.6</c:v>
                </c:pt>
                <c:pt idx="217">
                  <c:v>23.1</c:v>
                </c:pt>
                <c:pt idx="218">
                  <c:v>29.92</c:v>
                </c:pt>
                <c:pt idx="219">
                  <c:v>23.21</c:v>
                </c:pt>
                <c:pt idx="220">
                  <c:v>33.700000000000003</c:v>
                </c:pt>
                <c:pt idx="221">
                  <c:v>33.25</c:v>
                </c:pt>
                <c:pt idx="222">
                  <c:v>30.8</c:v>
                </c:pt>
                <c:pt idx="223">
                  <c:v>34.799999999999997</c:v>
                </c:pt>
                <c:pt idx="224">
                  <c:v>24.64</c:v>
                </c:pt>
                <c:pt idx="225">
                  <c:v>33.880000000000003</c:v>
                </c:pt>
                <c:pt idx="226">
                  <c:v>38.06</c:v>
                </c:pt>
                <c:pt idx="227">
                  <c:v>41.91</c:v>
                </c:pt>
                <c:pt idx="228">
                  <c:v>31.635000000000002</c:v>
                </c:pt>
                <c:pt idx="229">
                  <c:v>25.46</c:v>
                </c:pt>
                <c:pt idx="230">
                  <c:v>36.195</c:v>
                </c:pt>
                <c:pt idx="231">
                  <c:v>27.83</c:v>
                </c:pt>
                <c:pt idx="232">
                  <c:v>17.8</c:v>
                </c:pt>
                <c:pt idx="233">
                  <c:v>27.5</c:v>
                </c:pt>
                <c:pt idx="234">
                  <c:v>24.51</c:v>
                </c:pt>
                <c:pt idx="235">
                  <c:v>22.22</c:v>
                </c:pt>
                <c:pt idx="236">
                  <c:v>26.73</c:v>
                </c:pt>
                <c:pt idx="237">
                  <c:v>38.39</c:v>
                </c:pt>
                <c:pt idx="238">
                  <c:v>29.07</c:v>
                </c:pt>
                <c:pt idx="239">
                  <c:v>38.06</c:v>
                </c:pt>
                <c:pt idx="240">
                  <c:v>36.67</c:v>
                </c:pt>
                <c:pt idx="241">
                  <c:v>22.135000000000002</c:v>
                </c:pt>
                <c:pt idx="242">
                  <c:v>26.8</c:v>
                </c:pt>
                <c:pt idx="243">
                  <c:v>35.299999999999997</c:v>
                </c:pt>
                <c:pt idx="244">
                  <c:v>27.74</c:v>
                </c:pt>
                <c:pt idx="245">
                  <c:v>30.02</c:v>
                </c:pt>
                <c:pt idx="246">
                  <c:v>38.06</c:v>
                </c:pt>
                <c:pt idx="247">
                  <c:v>35.86</c:v>
                </c:pt>
                <c:pt idx="248">
                  <c:v>20.9</c:v>
                </c:pt>
                <c:pt idx="249">
                  <c:v>28.975000000000001</c:v>
                </c:pt>
                <c:pt idx="250">
                  <c:v>17.29</c:v>
                </c:pt>
                <c:pt idx="251">
                  <c:v>32.200000000000003</c:v>
                </c:pt>
                <c:pt idx="252">
                  <c:v>34.21</c:v>
                </c:pt>
                <c:pt idx="253">
                  <c:v>30.3</c:v>
                </c:pt>
                <c:pt idx="254">
                  <c:v>31.824999999999999</c:v>
                </c:pt>
                <c:pt idx="255">
                  <c:v>25.364999999999998</c:v>
                </c:pt>
                <c:pt idx="256">
                  <c:v>33.630000000000003</c:v>
                </c:pt>
                <c:pt idx="257">
                  <c:v>40.15</c:v>
                </c:pt>
                <c:pt idx="258">
                  <c:v>24.414999999999999</c:v>
                </c:pt>
                <c:pt idx="259">
                  <c:v>31.92</c:v>
                </c:pt>
                <c:pt idx="260">
                  <c:v>25.2</c:v>
                </c:pt>
                <c:pt idx="261">
                  <c:v>26.84</c:v>
                </c:pt>
                <c:pt idx="262">
                  <c:v>24.32</c:v>
                </c:pt>
                <c:pt idx="263">
                  <c:v>36.954999999999998</c:v>
                </c:pt>
                <c:pt idx="264">
                  <c:v>38.06</c:v>
                </c:pt>
                <c:pt idx="265">
                  <c:v>42.35</c:v>
                </c:pt>
                <c:pt idx="266">
                  <c:v>19.8</c:v>
                </c:pt>
                <c:pt idx="267">
                  <c:v>32.395000000000003</c:v>
                </c:pt>
                <c:pt idx="268">
                  <c:v>30.2</c:v>
                </c:pt>
                <c:pt idx="269">
                  <c:v>25.84</c:v>
                </c:pt>
                <c:pt idx="270">
                  <c:v>29.37</c:v>
                </c:pt>
                <c:pt idx="271">
                  <c:v>34.200000000000003</c:v>
                </c:pt>
                <c:pt idx="272">
                  <c:v>37.049999999999997</c:v>
                </c:pt>
                <c:pt idx="273">
                  <c:v>27.454999999999998</c:v>
                </c:pt>
                <c:pt idx="274">
                  <c:v>27.55</c:v>
                </c:pt>
                <c:pt idx="275">
                  <c:v>26.6</c:v>
                </c:pt>
                <c:pt idx="276">
                  <c:v>20.614999999999998</c:v>
                </c:pt>
                <c:pt idx="277">
                  <c:v>24.3</c:v>
                </c:pt>
                <c:pt idx="278">
                  <c:v>31.79</c:v>
                </c:pt>
                <c:pt idx="279">
                  <c:v>21.56</c:v>
                </c:pt>
                <c:pt idx="280">
                  <c:v>28.12</c:v>
                </c:pt>
                <c:pt idx="281">
                  <c:v>40.564999999999998</c:v>
                </c:pt>
                <c:pt idx="282">
                  <c:v>27.645</c:v>
                </c:pt>
                <c:pt idx="283">
                  <c:v>32.395000000000003</c:v>
                </c:pt>
                <c:pt idx="284">
                  <c:v>31.2</c:v>
                </c:pt>
                <c:pt idx="285">
                  <c:v>26.62</c:v>
                </c:pt>
                <c:pt idx="286">
                  <c:v>48.07</c:v>
                </c:pt>
                <c:pt idx="287">
                  <c:v>26.22</c:v>
                </c:pt>
                <c:pt idx="288">
                  <c:v>36.765000000000001</c:v>
                </c:pt>
                <c:pt idx="289">
                  <c:v>26.4</c:v>
                </c:pt>
                <c:pt idx="290">
                  <c:v>33.4</c:v>
                </c:pt>
                <c:pt idx="291">
                  <c:v>29.64</c:v>
                </c:pt>
                <c:pt idx="292">
                  <c:v>45.54</c:v>
                </c:pt>
                <c:pt idx="293">
                  <c:v>28.82</c:v>
                </c:pt>
                <c:pt idx="294">
                  <c:v>26.8</c:v>
                </c:pt>
                <c:pt idx="295">
                  <c:v>22.99</c:v>
                </c:pt>
                <c:pt idx="296">
                  <c:v>27.7</c:v>
                </c:pt>
                <c:pt idx="297">
                  <c:v>25.41</c:v>
                </c:pt>
                <c:pt idx="298">
                  <c:v>34.39</c:v>
                </c:pt>
                <c:pt idx="299">
                  <c:v>28.88</c:v>
                </c:pt>
                <c:pt idx="300">
                  <c:v>27.55</c:v>
                </c:pt>
                <c:pt idx="301">
                  <c:v>22.61</c:v>
                </c:pt>
                <c:pt idx="302">
                  <c:v>37.51</c:v>
                </c:pt>
                <c:pt idx="303">
                  <c:v>33</c:v>
                </c:pt>
                <c:pt idx="304">
                  <c:v>38</c:v>
                </c:pt>
                <c:pt idx="305">
                  <c:v>33.344999999999999</c:v>
                </c:pt>
                <c:pt idx="306">
                  <c:v>27.5</c:v>
                </c:pt>
                <c:pt idx="307">
                  <c:v>33.33</c:v>
                </c:pt>
                <c:pt idx="308">
                  <c:v>34.865000000000002</c:v>
                </c:pt>
                <c:pt idx="309">
                  <c:v>33.06</c:v>
                </c:pt>
                <c:pt idx="310">
                  <c:v>26.6</c:v>
                </c:pt>
                <c:pt idx="311">
                  <c:v>24.7</c:v>
                </c:pt>
                <c:pt idx="312">
                  <c:v>35.97</c:v>
                </c:pt>
                <c:pt idx="313">
                  <c:v>35.86</c:v>
                </c:pt>
                <c:pt idx="314">
                  <c:v>31.4</c:v>
                </c:pt>
                <c:pt idx="315">
                  <c:v>33.25</c:v>
                </c:pt>
                <c:pt idx="316">
                  <c:v>32.204999999999998</c:v>
                </c:pt>
                <c:pt idx="317">
                  <c:v>32.774999999999999</c:v>
                </c:pt>
                <c:pt idx="318">
                  <c:v>27.645</c:v>
                </c:pt>
                <c:pt idx="319">
                  <c:v>37.335000000000001</c:v>
                </c:pt>
                <c:pt idx="320">
                  <c:v>25.27</c:v>
                </c:pt>
                <c:pt idx="321">
                  <c:v>29.64</c:v>
                </c:pt>
                <c:pt idx="322">
                  <c:v>30.8</c:v>
                </c:pt>
                <c:pt idx="323">
                  <c:v>40.945</c:v>
                </c:pt>
                <c:pt idx="324">
                  <c:v>27.2</c:v>
                </c:pt>
                <c:pt idx="325">
                  <c:v>34.104999999999997</c:v>
                </c:pt>
                <c:pt idx="326">
                  <c:v>23.21</c:v>
                </c:pt>
                <c:pt idx="327">
                  <c:v>36.479999999999997</c:v>
                </c:pt>
                <c:pt idx="328">
                  <c:v>33.799999999999997</c:v>
                </c:pt>
                <c:pt idx="329">
                  <c:v>36.700000000000003</c:v>
                </c:pt>
                <c:pt idx="330">
                  <c:v>36.384999999999998</c:v>
                </c:pt>
                <c:pt idx="331">
                  <c:v>27.36</c:v>
                </c:pt>
                <c:pt idx="332">
                  <c:v>31.16</c:v>
                </c:pt>
                <c:pt idx="333">
                  <c:v>28.785</c:v>
                </c:pt>
                <c:pt idx="334">
                  <c:v>35.72</c:v>
                </c:pt>
                <c:pt idx="335">
                  <c:v>34.5</c:v>
                </c:pt>
                <c:pt idx="336">
                  <c:v>25.74</c:v>
                </c:pt>
                <c:pt idx="337">
                  <c:v>27.55</c:v>
                </c:pt>
                <c:pt idx="338">
                  <c:v>32.299999999999997</c:v>
                </c:pt>
                <c:pt idx="339">
                  <c:v>27.72</c:v>
                </c:pt>
                <c:pt idx="340">
                  <c:v>27.6</c:v>
                </c:pt>
                <c:pt idx="341">
                  <c:v>30.02</c:v>
                </c:pt>
                <c:pt idx="342">
                  <c:v>27.55</c:v>
                </c:pt>
                <c:pt idx="343">
                  <c:v>36.765000000000001</c:v>
                </c:pt>
                <c:pt idx="344">
                  <c:v>41.47</c:v>
                </c:pt>
                <c:pt idx="345">
                  <c:v>29.26</c:v>
                </c:pt>
                <c:pt idx="346">
                  <c:v>35.75</c:v>
                </c:pt>
                <c:pt idx="347">
                  <c:v>33.344999999999999</c:v>
                </c:pt>
                <c:pt idx="348">
                  <c:v>29.92</c:v>
                </c:pt>
                <c:pt idx="349">
                  <c:v>27.835000000000001</c:v>
                </c:pt>
                <c:pt idx="350">
                  <c:v>23.18</c:v>
                </c:pt>
                <c:pt idx="351">
                  <c:v>25.6</c:v>
                </c:pt>
                <c:pt idx="352">
                  <c:v>27.7</c:v>
                </c:pt>
                <c:pt idx="353">
                  <c:v>35.244999999999997</c:v>
                </c:pt>
                <c:pt idx="354">
                  <c:v>38.28</c:v>
                </c:pt>
                <c:pt idx="355">
                  <c:v>27.6</c:v>
                </c:pt>
                <c:pt idx="356">
                  <c:v>43.89</c:v>
                </c:pt>
                <c:pt idx="357">
                  <c:v>29.83</c:v>
                </c:pt>
                <c:pt idx="358">
                  <c:v>41.91</c:v>
                </c:pt>
                <c:pt idx="359">
                  <c:v>20.79</c:v>
                </c:pt>
                <c:pt idx="360">
                  <c:v>32.299999999999997</c:v>
                </c:pt>
                <c:pt idx="361">
                  <c:v>30.5</c:v>
                </c:pt>
                <c:pt idx="362">
                  <c:v>21.7</c:v>
                </c:pt>
                <c:pt idx="363">
                  <c:v>26.4</c:v>
                </c:pt>
                <c:pt idx="364">
                  <c:v>21.89</c:v>
                </c:pt>
                <c:pt idx="365">
                  <c:v>30.78</c:v>
                </c:pt>
                <c:pt idx="366">
                  <c:v>32.299999999999997</c:v>
                </c:pt>
                <c:pt idx="367">
                  <c:v>24.984999999999999</c:v>
                </c:pt>
                <c:pt idx="368">
                  <c:v>32.015000000000001</c:v>
                </c:pt>
                <c:pt idx="369">
                  <c:v>30.4</c:v>
                </c:pt>
                <c:pt idx="370">
                  <c:v>21.09</c:v>
                </c:pt>
                <c:pt idx="371">
                  <c:v>22.23</c:v>
                </c:pt>
                <c:pt idx="372">
                  <c:v>33.155000000000001</c:v>
                </c:pt>
                <c:pt idx="373">
                  <c:v>32.9</c:v>
                </c:pt>
                <c:pt idx="374">
                  <c:v>33.33</c:v>
                </c:pt>
                <c:pt idx="375">
                  <c:v>28.31</c:v>
                </c:pt>
                <c:pt idx="376">
                  <c:v>24.89</c:v>
                </c:pt>
                <c:pt idx="377">
                  <c:v>40.15</c:v>
                </c:pt>
                <c:pt idx="378">
                  <c:v>30.114999999999998</c:v>
                </c:pt>
                <c:pt idx="379">
                  <c:v>31.46</c:v>
                </c:pt>
                <c:pt idx="380">
                  <c:v>17.954999999999998</c:v>
                </c:pt>
                <c:pt idx="381">
                  <c:v>30.684999999999999</c:v>
                </c:pt>
                <c:pt idx="382">
                  <c:v>33</c:v>
                </c:pt>
                <c:pt idx="383">
                  <c:v>43.34</c:v>
                </c:pt>
                <c:pt idx="384">
                  <c:v>22.135000000000002</c:v>
                </c:pt>
                <c:pt idx="385">
                  <c:v>34.4</c:v>
                </c:pt>
                <c:pt idx="386">
                  <c:v>39.049999999999997</c:v>
                </c:pt>
                <c:pt idx="387">
                  <c:v>25.364999999999998</c:v>
                </c:pt>
                <c:pt idx="388">
                  <c:v>22.61</c:v>
                </c:pt>
                <c:pt idx="389">
                  <c:v>30.21</c:v>
                </c:pt>
                <c:pt idx="390">
                  <c:v>35.625</c:v>
                </c:pt>
                <c:pt idx="391">
                  <c:v>37.43</c:v>
                </c:pt>
                <c:pt idx="392">
                  <c:v>31.445</c:v>
                </c:pt>
                <c:pt idx="393">
                  <c:v>31.35</c:v>
                </c:pt>
                <c:pt idx="394">
                  <c:v>32.299999999999997</c:v>
                </c:pt>
                <c:pt idx="395">
                  <c:v>19.855</c:v>
                </c:pt>
                <c:pt idx="396">
                  <c:v>34.4</c:v>
                </c:pt>
                <c:pt idx="397">
                  <c:v>31.02</c:v>
                </c:pt>
                <c:pt idx="398">
                  <c:v>25.6</c:v>
                </c:pt>
                <c:pt idx="399">
                  <c:v>38.17</c:v>
                </c:pt>
                <c:pt idx="400">
                  <c:v>20.6</c:v>
                </c:pt>
                <c:pt idx="401">
                  <c:v>47.52</c:v>
                </c:pt>
                <c:pt idx="402">
                  <c:v>32.965000000000003</c:v>
                </c:pt>
                <c:pt idx="403">
                  <c:v>32.299999999999997</c:v>
                </c:pt>
                <c:pt idx="404">
                  <c:v>20.399999999999999</c:v>
                </c:pt>
                <c:pt idx="405">
                  <c:v>38.380000000000003</c:v>
                </c:pt>
                <c:pt idx="406">
                  <c:v>24.31</c:v>
                </c:pt>
                <c:pt idx="407">
                  <c:v>23.6</c:v>
                </c:pt>
                <c:pt idx="408">
                  <c:v>21.12</c:v>
                </c:pt>
                <c:pt idx="409">
                  <c:v>30.03</c:v>
                </c:pt>
                <c:pt idx="410">
                  <c:v>17.48</c:v>
                </c:pt>
                <c:pt idx="411">
                  <c:v>20.234999999999999</c:v>
                </c:pt>
                <c:pt idx="412">
                  <c:v>17.195</c:v>
                </c:pt>
                <c:pt idx="413">
                  <c:v>23.9</c:v>
                </c:pt>
                <c:pt idx="414">
                  <c:v>35.15</c:v>
                </c:pt>
                <c:pt idx="415">
                  <c:v>35.64</c:v>
                </c:pt>
                <c:pt idx="416">
                  <c:v>34.1</c:v>
                </c:pt>
                <c:pt idx="417">
                  <c:v>22.6</c:v>
                </c:pt>
                <c:pt idx="418">
                  <c:v>39.159999999999997</c:v>
                </c:pt>
                <c:pt idx="419">
                  <c:v>26.98</c:v>
                </c:pt>
                <c:pt idx="420">
                  <c:v>33.880000000000003</c:v>
                </c:pt>
                <c:pt idx="421">
                  <c:v>35.86</c:v>
                </c:pt>
                <c:pt idx="422">
                  <c:v>32.774999999999999</c:v>
                </c:pt>
                <c:pt idx="423">
                  <c:v>30.59</c:v>
                </c:pt>
                <c:pt idx="424">
                  <c:v>30.2</c:v>
                </c:pt>
                <c:pt idx="425">
                  <c:v>24.31</c:v>
                </c:pt>
                <c:pt idx="426">
                  <c:v>27.265000000000001</c:v>
                </c:pt>
                <c:pt idx="427">
                  <c:v>29.164999999999999</c:v>
                </c:pt>
                <c:pt idx="428">
                  <c:v>16.815000000000001</c:v>
                </c:pt>
                <c:pt idx="429">
                  <c:v>30.4</c:v>
                </c:pt>
                <c:pt idx="430">
                  <c:v>33.1</c:v>
                </c:pt>
                <c:pt idx="431">
                  <c:v>20.234999999999999</c:v>
                </c:pt>
                <c:pt idx="432">
                  <c:v>26.9</c:v>
                </c:pt>
                <c:pt idx="433">
                  <c:v>30.5</c:v>
                </c:pt>
                <c:pt idx="434">
                  <c:v>28.594999999999999</c:v>
                </c:pt>
                <c:pt idx="435">
                  <c:v>33.11</c:v>
                </c:pt>
                <c:pt idx="436">
                  <c:v>31.73</c:v>
                </c:pt>
                <c:pt idx="437">
                  <c:v>28.9</c:v>
                </c:pt>
                <c:pt idx="438">
                  <c:v>46.75</c:v>
                </c:pt>
                <c:pt idx="439">
                  <c:v>29.45</c:v>
                </c:pt>
                <c:pt idx="440">
                  <c:v>32.68</c:v>
                </c:pt>
                <c:pt idx="441">
                  <c:v>33.5</c:v>
                </c:pt>
                <c:pt idx="442">
                  <c:v>43.01</c:v>
                </c:pt>
                <c:pt idx="443">
                  <c:v>36.520000000000003</c:v>
                </c:pt>
                <c:pt idx="444">
                  <c:v>26.695</c:v>
                </c:pt>
                <c:pt idx="445">
                  <c:v>33.1</c:v>
                </c:pt>
                <c:pt idx="446">
                  <c:v>29.64</c:v>
                </c:pt>
                <c:pt idx="447">
                  <c:v>25.65</c:v>
                </c:pt>
                <c:pt idx="448">
                  <c:v>29.6</c:v>
                </c:pt>
                <c:pt idx="449">
                  <c:v>38.6</c:v>
                </c:pt>
                <c:pt idx="450">
                  <c:v>29.6</c:v>
                </c:pt>
                <c:pt idx="451">
                  <c:v>24.13</c:v>
                </c:pt>
                <c:pt idx="452">
                  <c:v>23.4</c:v>
                </c:pt>
                <c:pt idx="453">
                  <c:v>29.734999999999999</c:v>
                </c:pt>
                <c:pt idx="454">
                  <c:v>46.53</c:v>
                </c:pt>
                <c:pt idx="455">
                  <c:v>37.4</c:v>
                </c:pt>
                <c:pt idx="456">
                  <c:v>30.14</c:v>
                </c:pt>
                <c:pt idx="457">
                  <c:v>30.495000000000001</c:v>
                </c:pt>
                <c:pt idx="458">
                  <c:v>39.6</c:v>
                </c:pt>
                <c:pt idx="459">
                  <c:v>33</c:v>
                </c:pt>
                <c:pt idx="460">
                  <c:v>36.630000000000003</c:v>
                </c:pt>
                <c:pt idx="461">
                  <c:v>30</c:v>
                </c:pt>
                <c:pt idx="462">
                  <c:v>38.094999999999999</c:v>
                </c:pt>
                <c:pt idx="463">
                  <c:v>25.934999999999999</c:v>
                </c:pt>
                <c:pt idx="464">
                  <c:v>25.175000000000001</c:v>
                </c:pt>
                <c:pt idx="465">
                  <c:v>28.38</c:v>
                </c:pt>
                <c:pt idx="466">
                  <c:v>28.7</c:v>
                </c:pt>
                <c:pt idx="467">
                  <c:v>33.82</c:v>
                </c:pt>
                <c:pt idx="468">
                  <c:v>24.32</c:v>
                </c:pt>
                <c:pt idx="469">
                  <c:v>24.09</c:v>
                </c:pt>
                <c:pt idx="470">
                  <c:v>32.67</c:v>
                </c:pt>
                <c:pt idx="471">
                  <c:v>30.114999999999998</c:v>
                </c:pt>
                <c:pt idx="472">
                  <c:v>29.8</c:v>
                </c:pt>
                <c:pt idx="473">
                  <c:v>33.344999999999999</c:v>
                </c:pt>
                <c:pt idx="474">
                  <c:v>25.1</c:v>
                </c:pt>
                <c:pt idx="475">
                  <c:v>28.31</c:v>
                </c:pt>
                <c:pt idx="476">
                  <c:v>28.5</c:v>
                </c:pt>
                <c:pt idx="477">
                  <c:v>35.625</c:v>
                </c:pt>
                <c:pt idx="478">
                  <c:v>36.85</c:v>
                </c:pt>
                <c:pt idx="479">
                  <c:v>32.56</c:v>
                </c:pt>
                <c:pt idx="480">
                  <c:v>41.325000000000003</c:v>
                </c:pt>
                <c:pt idx="481">
                  <c:v>37.51</c:v>
                </c:pt>
                <c:pt idx="482">
                  <c:v>31.35</c:v>
                </c:pt>
                <c:pt idx="483">
                  <c:v>39.5</c:v>
                </c:pt>
                <c:pt idx="484">
                  <c:v>34.299999999999997</c:v>
                </c:pt>
                <c:pt idx="485">
                  <c:v>31.065000000000001</c:v>
                </c:pt>
                <c:pt idx="486">
                  <c:v>21.47</c:v>
                </c:pt>
                <c:pt idx="487">
                  <c:v>28.7</c:v>
                </c:pt>
                <c:pt idx="488">
                  <c:v>38.06</c:v>
                </c:pt>
                <c:pt idx="489">
                  <c:v>31.16</c:v>
                </c:pt>
                <c:pt idx="490">
                  <c:v>32.9</c:v>
                </c:pt>
                <c:pt idx="491">
                  <c:v>25.08</c:v>
                </c:pt>
                <c:pt idx="492">
                  <c:v>25.08</c:v>
                </c:pt>
                <c:pt idx="493">
                  <c:v>43.4</c:v>
                </c:pt>
                <c:pt idx="494">
                  <c:v>25.7</c:v>
                </c:pt>
                <c:pt idx="495">
                  <c:v>27.93</c:v>
                </c:pt>
                <c:pt idx="496">
                  <c:v>23.6</c:v>
                </c:pt>
                <c:pt idx="497">
                  <c:v>28.7</c:v>
                </c:pt>
                <c:pt idx="498">
                  <c:v>23.98</c:v>
                </c:pt>
                <c:pt idx="499">
                  <c:v>39.200000000000003</c:v>
                </c:pt>
                <c:pt idx="500">
                  <c:v>34.4</c:v>
                </c:pt>
                <c:pt idx="501">
                  <c:v>26.03</c:v>
                </c:pt>
                <c:pt idx="502">
                  <c:v>23.21</c:v>
                </c:pt>
                <c:pt idx="503">
                  <c:v>30.25</c:v>
                </c:pt>
                <c:pt idx="504">
                  <c:v>28.93</c:v>
                </c:pt>
                <c:pt idx="505">
                  <c:v>30.875</c:v>
                </c:pt>
                <c:pt idx="506">
                  <c:v>31.35</c:v>
                </c:pt>
                <c:pt idx="507">
                  <c:v>23.75</c:v>
                </c:pt>
                <c:pt idx="508">
                  <c:v>25.27</c:v>
                </c:pt>
                <c:pt idx="509">
                  <c:v>28.7</c:v>
                </c:pt>
                <c:pt idx="510">
                  <c:v>32.11</c:v>
                </c:pt>
                <c:pt idx="511">
                  <c:v>33.659999999999997</c:v>
                </c:pt>
                <c:pt idx="512">
                  <c:v>22.42</c:v>
                </c:pt>
                <c:pt idx="513">
                  <c:v>30.4</c:v>
                </c:pt>
                <c:pt idx="514">
                  <c:v>28.3</c:v>
                </c:pt>
                <c:pt idx="515">
                  <c:v>35.700000000000003</c:v>
                </c:pt>
                <c:pt idx="516">
                  <c:v>35.31</c:v>
                </c:pt>
                <c:pt idx="517">
                  <c:v>30.495000000000001</c:v>
                </c:pt>
                <c:pt idx="518">
                  <c:v>31</c:v>
                </c:pt>
                <c:pt idx="519">
                  <c:v>30.875</c:v>
                </c:pt>
                <c:pt idx="520">
                  <c:v>27.36</c:v>
                </c:pt>
                <c:pt idx="521">
                  <c:v>44.22</c:v>
                </c:pt>
                <c:pt idx="522">
                  <c:v>33.914999999999999</c:v>
                </c:pt>
                <c:pt idx="523">
                  <c:v>37.729999999999997</c:v>
                </c:pt>
                <c:pt idx="524">
                  <c:v>26.07</c:v>
                </c:pt>
                <c:pt idx="525">
                  <c:v>33.880000000000003</c:v>
                </c:pt>
                <c:pt idx="526">
                  <c:v>30.59</c:v>
                </c:pt>
                <c:pt idx="527">
                  <c:v>25.8</c:v>
                </c:pt>
                <c:pt idx="528">
                  <c:v>39.424999999999997</c:v>
                </c:pt>
                <c:pt idx="529">
                  <c:v>25.46</c:v>
                </c:pt>
                <c:pt idx="530">
                  <c:v>42.13</c:v>
                </c:pt>
                <c:pt idx="531">
                  <c:v>31.73</c:v>
                </c:pt>
                <c:pt idx="532">
                  <c:v>29.7</c:v>
                </c:pt>
                <c:pt idx="533">
                  <c:v>36.19</c:v>
                </c:pt>
                <c:pt idx="534">
                  <c:v>40.479999999999997</c:v>
                </c:pt>
                <c:pt idx="535">
                  <c:v>28.024999999999999</c:v>
                </c:pt>
                <c:pt idx="536">
                  <c:v>38.9</c:v>
                </c:pt>
                <c:pt idx="537">
                  <c:v>30.2</c:v>
                </c:pt>
                <c:pt idx="538">
                  <c:v>28.05</c:v>
                </c:pt>
                <c:pt idx="539">
                  <c:v>31.35</c:v>
                </c:pt>
                <c:pt idx="540">
                  <c:v>38</c:v>
                </c:pt>
                <c:pt idx="541">
                  <c:v>31.79</c:v>
                </c:pt>
                <c:pt idx="542">
                  <c:v>36.299999999999997</c:v>
                </c:pt>
                <c:pt idx="543">
                  <c:v>47.41</c:v>
                </c:pt>
                <c:pt idx="544">
                  <c:v>30.21</c:v>
                </c:pt>
                <c:pt idx="545">
                  <c:v>25.84</c:v>
                </c:pt>
                <c:pt idx="546">
                  <c:v>35.435000000000002</c:v>
                </c:pt>
                <c:pt idx="547">
                  <c:v>46.7</c:v>
                </c:pt>
                <c:pt idx="548">
                  <c:v>28.594999999999999</c:v>
                </c:pt>
                <c:pt idx="549">
                  <c:v>46.2</c:v>
                </c:pt>
                <c:pt idx="550">
                  <c:v>30.8</c:v>
                </c:pt>
                <c:pt idx="551">
                  <c:v>28.93</c:v>
                </c:pt>
                <c:pt idx="552">
                  <c:v>21.4</c:v>
                </c:pt>
                <c:pt idx="553">
                  <c:v>31.73</c:v>
                </c:pt>
                <c:pt idx="554">
                  <c:v>41.325000000000003</c:v>
                </c:pt>
                <c:pt idx="555">
                  <c:v>23.8</c:v>
                </c:pt>
                <c:pt idx="556">
                  <c:v>33.44</c:v>
                </c:pt>
                <c:pt idx="557">
                  <c:v>34.21</c:v>
                </c:pt>
                <c:pt idx="558">
                  <c:v>34.104999999999997</c:v>
                </c:pt>
                <c:pt idx="559">
                  <c:v>35.53</c:v>
                </c:pt>
                <c:pt idx="560">
                  <c:v>19.95</c:v>
                </c:pt>
                <c:pt idx="561">
                  <c:v>32.68</c:v>
                </c:pt>
                <c:pt idx="562">
                  <c:v>30.5</c:v>
                </c:pt>
                <c:pt idx="563">
                  <c:v>44.77</c:v>
                </c:pt>
                <c:pt idx="564">
                  <c:v>32.119999999999997</c:v>
                </c:pt>
                <c:pt idx="565">
                  <c:v>30.495000000000001</c:v>
                </c:pt>
                <c:pt idx="566">
                  <c:v>40.564999999999998</c:v>
                </c:pt>
                <c:pt idx="567">
                  <c:v>30.59</c:v>
                </c:pt>
                <c:pt idx="568">
                  <c:v>31.9</c:v>
                </c:pt>
                <c:pt idx="569">
                  <c:v>40.564999999999998</c:v>
                </c:pt>
                <c:pt idx="570">
                  <c:v>29.1</c:v>
                </c:pt>
                <c:pt idx="571">
                  <c:v>37.29</c:v>
                </c:pt>
                <c:pt idx="572">
                  <c:v>43.12</c:v>
                </c:pt>
                <c:pt idx="573">
                  <c:v>36.86</c:v>
                </c:pt>
                <c:pt idx="574">
                  <c:v>34.295000000000002</c:v>
                </c:pt>
                <c:pt idx="575">
                  <c:v>27.17</c:v>
                </c:pt>
                <c:pt idx="576">
                  <c:v>26.84</c:v>
                </c:pt>
                <c:pt idx="577">
                  <c:v>38.094999999999999</c:v>
                </c:pt>
                <c:pt idx="578">
                  <c:v>30.2</c:v>
                </c:pt>
                <c:pt idx="579">
                  <c:v>23.465</c:v>
                </c:pt>
                <c:pt idx="580">
                  <c:v>25.46</c:v>
                </c:pt>
                <c:pt idx="581">
                  <c:v>30.59</c:v>
                </c:pt>
                <c:pt idx="582">
                  <c:v>45.43</c:v>
                </c:pt>
                <c:pt idx="583">
                  <c:v>23.65</c:v>
                </c:pt>
                <c:pt idx="584">
                  <c:v>20.7</c:v>
                </c:pt>
                <c:pt idx="585">
                  <c:v>28.27</c:v>
                </c:pt>
                <c:pt idx="586">
                  <c:v>20.234999999999999</c:v>
                </c:pt>
                <c:pt idx="587">
                  <c:v>30.21</c:v>
                </c:pt>
                <c:pt idx="588">
                  <c:v>35.909999999999997</c:v>
                </c:pt>
                <c:pt idx="589">
                  <c:v>30.69</c:v>
                </c:pt>
                <c:pt idx="590">
                  <c:v>29</c:v>
                </c:pt>
                <c:pt idx="591">
                  <c:v>19.57</c:v>
                </c:pt>
                <c:pt idx="592">
                  <c:v>31.13</c:v>
                </c:pt>
                <c:pt idx="593">
                  <c:v>21.85</c:v>
                </c:pt>
                <c:pt idx="594">
                  <c:v>40.26</c:v>
                </c:pt>
                <c:pt idx="595">
                  <c:v>33.725000000000001</c:v>
                </c:pt>
                <c:pt idx="596">
                  <c:v>29.48</c:v>
                </c:pt>
                <c:pt idx="597">
                  <c:v>33.25</c:v>
                </c:pt>
                <c:pt idx="598">
                  <c:v>32.6</c:v>
                </c:pt>
                <c:pt idx="599">
                  <c:v>37.524999999999999</c:v>
                </c:pt>
                <c:pt idx="600">
                  <c:v>39.159999999999997</c:v>
                </c:pt>
                <c:pt idx="601">
                  <c:v>31.635000000000002</c:v>
                </c:pt>
                <c:pt idx="602">
                  <c:v>25.3</c:v>
                </c:pt>
                <c:pt idx="603">
                  <c:v>39.049999999999997</c:v>
                </c:pt>
                <c:pt idx="604">
                  <c:v>28.31</c:v>
                </c:pt>
                <c:pt idx="605">
                  <c:v>34.1</c:v>
                </c:pt>
                <c:pt idx="606">
                  <c:v>25.175000000000001</c:v>
                </c:pt>
                <c:pt idx="607">
                  <c:v>23.655000000000001</c:v>
                </c:pt>
                <c:pt idx="608">
                  <c:v>26.98</c:v>
                </c:pt>
                <c:pt idx="609">
                  <c:v>37.799999999999997</c:v>
                </c:pt>
                <c:pt idx="610">
                  <c:v>29.37</c:v>
                </c:pt>
                <c:pt idx="611">
                  <c:v>34.799999999999997</c:v>
                </c:pt>
                <c:pt idx="612">
                  <c:v>33.155000000000001</c:v>
                </c:pt>
                <c:pt idx="613">
                  <c:v>19</c:v>
                </c:pt>
                <c:pt idx="614">
                  <c:v>33</c:v>
                </c:pt>
                <c:pt idx="615">
                  <c:v>36.630000000000003</c:v>
                </c:pt>
                <c:pt idx="616">
                  <c:v>28.594999999999999</c:v>
                </c:pt>
                <c:pt idx="617">
                  <c:v>25.6</c:v>
                </c:pt>
                <c:pt idx="618">
                  <c:v>33.11</c:v>
                </c:pt>
                <c:pt idx="619">
                  <c:v>37.1</c:v>
                </c:pt>
                <c:pt idx="620">
                  <c:v>31.4</c:v>
                </c:pt>
                <c:pt idx="621">
                  <c:v>34.1</c:v>
                </c:pt>
                <c:pt idx="622">
                  <c:v>21.3</c:v>
                </c:pt>
                <c:pt idx="623">
                  <c:v>33.534999999999997</c:v>
                </c:pt>
                <c:pt idx="624">
                  <c:v>28.785</c:v>
                </c:pt>
                <c:pt idx="625">
                  <c:v>26.03</c:v>
                </c:pt>
                <c:pt idx="626">
                  <c:v>28.88</c:v>
                </c:pt>
                <c:pt idx="627">
                  <c:v>42.46</c:v>
                </c:pt>
                <c:pt idx="628">
                  <c:v>38</c:v>
                </c:pt>
                <c:pt idx="629">
                  <c:v>38.950000000000003</c:v>
                </c:pt>
                <c:pt idx="630">
                  <c:v>36.1</c:v>
                </c:pt>
                <c:pt idx="631">
                  <c:v>29.3</c:v>
                </c:pt>
                <c:pt idx="632">
                  <c:v>35.53</c:v>
                </c:pt>
                <c:pt idx="633">
                  <c:v>22.704999999999998</c:v>
                </c:pt>
                <c:pt idx="634">
                  <c:v>39.700000000000003</c:v>
                </c:pt>
                <c:pt idx="635">
                  <c:v>38.19</c:v>
                </c:pt>
                <c:pt idx="636">
                  <c:v>24.51</c:v>
                </c:pt>
                <c:pt idx="637">
                  <c:v>38.094999999999999</c:v>
                </c:pt>
                <c:pt idx="638">
                  <c:v>26.41</c:v>
                </c:pt>
                <c:pt idx="639">
                  <c:v>33.659999999999997</c:v>
                </c:pt>
                <c:pt idx="640">
                  <c:v>42.4</c:v>
                </c:pt>
                <c:pt idx="641">
                  <c:v>28.31</c:v>
                </c:pt>
                <c:pt idx="642">
                  <c:v>33.914999999999999</c:v>
                </c:pt>
                <c:pt idx="643">
                  <c:v>34.96</c:v>
                </c:pt>
                <c:pt idx="644">
                  <c:v>35.31</c:v>
                </c:pt>
                <c:pt idx="645">
                  <c:v>30.78</c:v>
                </c:pt>
                <c:pt idx="646">
                  <c:v>26.22</c:v>
                </c:pt>
                <c:pt idx="647">
                  <c:v>23.37</c:v>
                </c:pt>
                <c:pt idx="648">
                  <c:v>28.5</c:v>
                </c:pt>
                <c:pt idx="649">
                  <c:v>32.965000000000003</c:v>
                </c:pt>
                <c:pt idx="650">
                  <c:v>42.68</c:v>
                </c:pt>
                <c:pt idx="651">
                  <c:v>39.6</c:v>
                </c:pt>
                <c:pt idx="652">
                  <c:v>31.13</c:v>
                </c:pt>
                <c:pt idx="653">
                  <c:v>36.299999999999997</c:v>
                </c:pt>
                <c:pt idx="654">
                  <c:v>35.200000000000003</c:v>
                </c:pt>
                <c:pt idx="655">
                  <c:v>25.3</c:v>
                </c:pt>
                <c:pt idx="656">
                  <c:v>42.4</c:v>
                </c:pt>
                <c:pt idx="657">
                  <c:v>33.155000000000001</c:v>
                </c:pt>
                <c:pt idx="658">
                  <c:v>35.909999999999997</c:v>
                </c:pt>
                <c:pt idx="659">
                  <c:v>28.785</c:v>
                </c:pt>
                <c:pt idx="660">
                  <c:v>46.53</c:v>
                </c:pt>
                <c:pt idx="661">
                  <c:v>23.98</c:v>
                </c:pt>
                <c:pt idx="662">
                  <c:v>31.54</c:v>
                </c:pt>
                <c:pt idx="663">
                  <c:v>33.659999999999997</c:v>
                </c:pt>
                <c:pt idx="664">
                  <c:v>22.99</c:v>
                </c:pt>
                <c:pt idx="665">
                  <c:v>38.06</c:v>
                </c:pt>
                <c:pt idx="666">
                  <c:v>28.7</c:v>
                </c:pt>
                <c:pt idx="667">
                  <c:v>32.774999999999999</c:v>
                </c:pt>
                <c:pt idx="668">
                  <c:v>32.015000000000001</c:v>
                </c:pt>
                <c:pt idx="669">
                  <c:v>29.81</c:v>
                </c:pt>
                <c:pt idx="670">
                  <c:v>31.57</c:v>
                </c:pt>
                <c:pt idx="671">
                  <c:v>31.16</c:v>
                </c:pt>
                <c:pt idx="672">
                  <c:v>29.7</c:v>
                </c:pt>
                <c:pt idx="673">
                  <c:v>31.02</c:v>
                </c:pt>
                <c:pt idx="674">
                  <c:v>43.89</c:v>
                </c:pt>
                <c:pt idx="675">
                  <c:v>21.375</c:v>
                </c:pt>
                <c:pt idx="676">
                  <c:v>40.81</c:v>
                </c:pt>
                <c:pt idx="677">
                  <c:v>31.35</c:v>
                </c:pt>
                <c:pt idx="678">
                  <c:v>36.1</c:v>
                </c:pt>
                <c:pt idx="679">
                  <c:v>23.18</c:v>
                </c:pt>
                <c:pt idx="680">
                  <c:v>17.399999999999999</c:v>
                </c:pt>
                <c:pt idx="681">
                  <c:v>20.3</c:v>
                </c:pt>
                <c:pt idx="682">
                  <c:v>35.299999999999997</c:v>
                </c:pt>
                <c:pt idx="683">
                  <c:v>24.32</c:v>
                </c:pt>
                <c:pt idx="684">
                  <c:v>18.5</c:v>
                </c:pt>
                <c:pt idx="685">
                  <c:v>26.41</c:v>
                </c:pt>
                <c:pt idx="686">
                  <c:v>26.125</c:v>
                </c:pt>
                <c:pt idx="687">
                  <c:v>41.69</c:v>
                </c:pt>
                <c:pt idx="688">
                  <c:v>24.1</c:v>
                </c:pt>
                <c:pt idx="689">
                  <c:v>31.13</c:v>
                </c:pt>
                <c:pt idx="690">
                  <c:v>27.36</c:v>
                </c:pt>
                <c:pt idx="691">
                  <c:v>36.200000000000003</c:v>
                </c:pt>
                <c:pt idx="692">
                  <c:v>32.395000000000003</c:v>
                </c:pt>
                <c:pt idx="693">
                  <c:v>23.655000000000001</c:v>
                </c:pt>
                <c:pt idx="694">
                  <c:v>34.799999999999997</c:v>
                </c:pt>
                <c:pt idx="695">
                  <c:v>40.185000000000002</c:v>
                </c:pt>
                <c:pt idx="696">
                  <c:v>32.299999999999997</c:v>
                </c:pt>
                <c:pt idx="697">
                  <c:v>35.75</c:v>
                </c:pt>
                <c:pt idx="698">
                  <c:v>33.725000000000001</c:v>
                </c:pt>
                <c:pt idx="699">
                  <c:v>39.270000000000003</c:v>
                </c:pt>
                <c:pt idx="700">
                  <c:v>34.869999999999997</c:v>
                </c:pt>
                <c:pt idx="701">
                  <c:v>44.744999999999997</c:v>
                </c:pt>
                <c:pt idx="702">
                  <c:v>41.47</c:v>
                </c:pt>
                <c:pt idx="703">
                  <c:v>26.41</c:v>
                </c:pt>
                <c:pt idx="704">
                  <c:v>29.545000000000002</c:v>
                </c:pt>
                <c:pt idx="705">
                  <c:v>32.9</c:v>
                </c:pt>
                <c:pt idx="706">
                  <c:v>38.06</c:v>
                </c:pt>
                <c:pt idx="707">
                  <c:v>28.69</c:v>
                </c:pt>
                <c:pt idx="708">
                  <c:v>30.495000000000001</c:v>
                </c:pt>
                <c:pt idx="709">
                  <c:v>27.74</c:v>
                </c:pt>
                <c:pt idx="710">
                  <c:v>35.200000000000003</c:v>
                </c:pt>
                <c:pt idx="711">
                  <c:v>23.54</c:v>
                </c:pt>
                <c:pt idx="712">
                  <c:v>30.684999999999999</c:v>
                </c:pt>
                <c:pt idx="713">
                  <c:v>40.47</c:v>
                </c:pt>
                <c:pt idx="714">
                  <c:v>22.6</c:v>
                </c:pt>
                <c:pt idx="715">
                  <c:v>28.9</c:v>
                </c:pt>
                <c:pt idx="716">
                  <c:v>22.61</c:v>
                </c:pt>
                <c:pt idx="717">
                  <c:v>24.32</c:v>
                </c:pt>
                <c:pt idx="718">
                  <c:v>36.67</c:v>
                </c:pt>
                <c:pt idx="719">
                  <c:v>33.44</c:v>
                </c:pt>
                <c:pt idx="720">
                  <c:v>40.659999999999997</c:v>
                </c:pt>
                <c:pt idx="721">
                  <c:v>36.6</c:v>
                </c:pt>
                <c:pt idx="722">
                  <c:v>37.4</c:v>
                </c:pt>
                <c:pt idx="723">
                  <c:v>35.4</c:v>
                </c:pt>
                <c:pt idx="724">
                  <c:v>27.074999999999999</c:v>
                </c:pt>
                <c:pt idx="725">
                  <c:v>39.049999999999997</c:v>
                </c:pt>
                <c:pt idx="726">
                  <c:v>28.405000000000001</c:v>
                </c:pt>
                <c:pt idx="727">
                  <c:v>21.754999999999999</c:v>
                </c:pt>
                <c:pt idx="728">
                  <c:v>40.28</c:v>
                </c:pt>
                <c:pt idx="729">
                  <c:v>36.08</c:v>
                </c:pt>
                <c:pt idx="730">
                  <c:v>24.42</c:v>
                </c:pt>
                <c:pt idx="731">
                  <c:v>21.4</c:v>
                </c:pt>
                <c:pt idx="732">
                  <c:v>30.1</c:v>
                </c:pt>
                <c:pt idx="733">
                  <c:v>27.265000000000001</c:v>
                </c:pt>
                <c:pt idx="734">
                  <c:v>32.1</c:v>
                </c:pt>
                <c:pt idx="735">
                  <c:v>34.770000000000003</c:v>
                </c:pt>
                <c:pt idx="736">
                  <c:v>38.39</c:v>
                </c:pt>
                <c:pt idx="737">
                  <c:v>23.7</c:v>
                </c:pt>
                <c:pt idx="738">
                  <c:v>31.73</c:v>
                </c:pt>
                <c:pt idx="739">
                  <c:v>35.5</c:v>
                </c:pt>
                <c:pt idx="740">
                  <c:v>24.035</c:v>
                </c:pt>
                <c:pt idx="741">
                  <c:v>29.15</c:v>
                </c:pt>
                <c:pt idx="742">
                  <c:v>34.104999999999997</c:v>
                </c:pt>
                <c:pt idx="743">
                  <c:v>26.62</c:v>
                </c:pt>
                <c:pt idx="744">
                  <c:v>26.41</c:v>
                </c:pt>
                <c:pt idx="745">
                  <c:v>30.114999999999998</c:v>
                </c:pt>
                <c:pt idx="746">
                  <c:v>27</c:v>
                </c:pt>
                <c:pt idx="747">
                  <c:v>21.754999999999999</c:v>
                </c:pt>
                <c:pt idx="748">
                  <c:v>36</c:v>
                </c:pt>
                <c:pt idx="749">
                  <c:v>30.875</c:v>
                </c:pt>
                <c:pt idx="750">
                  <c:v>26.4</c:v>
                </c:pt>
                <c:pt idx="751">
                  <c:v>28.975000000000001</c:v>
                </c:pt>
                <c:pt idx="752">
                  <c:v>37.905000000000001</c:v>
                </c:pt>
                <c:pt idx="753">
                  <c:v>22.77</c:v>
                </c:pt>
                <c:pt idx="754">
                  <c:v>33.630000000000003</c:v>
                </c:pt>
                <c:pt idx="755">
                  <c:v>27.645</c:v>
                </c:pt>
                <c:pt idx="756">
                  <c:v>22.8</c:v>
                </c:pt>
                <c:pt idx="757">
                  <c:v>27.83</c:v>
                </c:pt>
                <c:pt idx="758">
                  <c:v>37.43</c:v>
                </c:pt>
                <c:pt idx="759">
                  <c:v>38.17</c:v>
                </c:pt>
                <c:pt idx="760">
                  <c:v>34.58</c:v>
                </c:pt>
                <c:pt idx="761">
                  <c:v>35.200000000000003</c:v>
                </c:pt>
                <c:pt idx="762">
                  <c:v>27.1</c:v>
                </c:pt>
                <c:pt idx="763">
                  <c:v>26.03</c:v>
                </c:pt>
                <c:pt idx="764">
                  <c:v>25.175000000000001</c:v>
                </c:pt>
                <c:pt idx="765">
                  <c:v>31.824999999999999</c:v>
                </c:pt>
                <c:pt idx="766">
                  <c:v>32.299999999999997</c:v>
                </c:pt>
                <c:pt idx="767">
                  <c:v>29</c:v>
                </c:pt>
                <c:pt idx="768">
                  <c:v>39.700000000000003</c:v>
                </c:pt>
                <c:pt idx="769">
                  <c:v>19.475000000000001</c:v>
                </c:pt>
                <c:pt idx="770">
                  <c:v>36.1</c:v>
                </c:pt>
                <c:pt idx="771">
                  <c:v>26.7</c:v>
                </c:pt>
                <c:pt idx="772">
                  <c:v>36.479999999999997</c:v>
                </c:pt>
                <c:pt idx="773">
                  <c:v>28.88</c:v>
                </c:pt>
                <c:pt idx="774">
                  <c:v>34.200000000000003</c:v>
                </c:pt>
                <c:pt idx="775">
                  <c:v>33.33</c:v>
                </c:pt>
                <c:pt idx="776">
                  <c:v>32.299999999999997</c:v>
                </c:pt>
                <c:pt idx="777">
                  <c:v>39.805</c:v>
                </c:pt>
                <c:pt idx="778">
                  <c:v>34.32</c:v>
                </c:pt>
                <c:pt idx="779">
                  <c:v>28.88</c:v>
                </c:pt>
                <c:pt idx="780">
                  <c:v>24.4</c:v>
                </c:pt>
                <c:pt idx="781">
                  <c:v>41.14</c:v>
                </c:pt>
                <c:pt idx="782">
                  <c:v>35.97</c:v>
                </c:pt>
                <c:pt idx="783">
                  <c:v>27.6</c:v>
                </c:pt>
                <c:pt idx="784">
                  <c:v>29.26</c:v>
                </c:pt>
                <c:pt idx="785">
                  <c:v>27.7</c:v>
                </c:pt>
                <c:pt idx="786">
                  <c:v>36.954999999999998</c:v>
                </c:pt>
                <c:pt idx="787">
                  <c:v>36.86</c:v>
                </c:pt>
                <c:pt idx="788">
                  <c:v>22.515000000000001</c:v>
                </c:pt>
                <c:pt idx="789">
                  <c:v>29.92</c:v>
                </c:pt>
                <c:pt idx="790">
                  <c:v>41.8</c:v>
                </c:pt>
                <c:pt idx="791">
                  <c:v>27.6</c:v>
                </c:pt>
                <c:pt idx="792">
                  <c:v>23.18</c:v>
                </c:pt>
                <c:pt idx="793">
                  <c:v>20.9</c:v>
                </c:pt>
                <c:pt idx="794">
                  <c:v>31.92</c:v>
                </c:pt>
                <c:pt idx="795">
                  <c:v>28.5</c:v>
                </c:pt>
                <c:pt idx="796">
                  <c:v>44.22</c:v>
                </c:pt>
                <c:pt idx="797">
                  <c:v>22.895</c:v>
                </c:pt>
                <c:pt idx="798">
                  <c:v>33.1</c:v>
                </c:pt>
                <c:pt idx="799">
                  <c:v>24.795000000000002</c:v>
                </c:pt>
                <c:pt idx="800">
                  <c:v>26.18</c:v>
                </c:pt>
                <c:pt idx="801">
                  <c:v>35.97</c:v>
                </c:pt>
                <c:pt idx="802">
                  <c:v>22.3</c:v>
                </c:pt>
                <c:pt idx="803">
                  <c:v>42.24</c:v>
                </c:pt>
                <c:pt idx="804">
                  <c:v>26.51</c:v>
                </c:pt>
                <c:pt idx="805">
                  <c:v>35.814999999999998</c:v>
                </c:pt>
                <c:pt idx="806">
                  <c:v>41.42</c:v>
                </c:pt>
                <c:pt idx="807">
                  <c:v>36.575000000000003</c:v>
                </c:pt>
                <c:pt idx="808">
                  <c:v>30.14</c:v>
                </c:pt>
                <c:pt idx="809">
                  <c:v>25.84</c:v>
                </c:pt>
                <c:pt idx="810">
                  <c:v>30.8</c:v>
                </c:pt>
                <c:pt idx="811">
                  <c:v>42.94</c:v>
                </c:pt>
                <c:pt idx="812">
                  <c:v>21.01</c:v>
                </c:pt>
                <c:pt idx="813">
                  <c:v>22.515000000000001</c:v>
                </c:pt>
                <c:pt idx="814">
                  <c:v>34.43</c:v>
                </c:pt>
                <c:pt idx="815">
                  <c:v>31.46</c:v>
                </c:pt>
                <c:pt idx="816">
                  <c:v>24.225000000000001</c:v>
                </c:pt>
                <c:pt idx="817">
                  <c:v>37.1</c:v>
                </c:pt>
                <c:pt idx="818">
                  <c:v>26.125</c:v>
                </c:pt>
                <c:pt idx="819">
                  <c:v>35.53</c:v>
                </c:pt>
                <c:pt idx="820">
                  <c:v>33.700000000000003</c:v>
                </c:pt>
                <c:pt idx="821">
                  <c:v>17.670000000000002</c:v>
                </c:pt>
                <c:pt idx="822">
                  <c:v>31.13</c:v>
                </c:pt>
                <c:pt idx="823">
                  <c:v>29.81</c:v>
                </c:pt>
                <c:pt idx="824">
                  <c:v>24.32</c:v>
                </c:pt>
                <c:pt idx="825">
                  <c:v>31.824999999999999</c:v>
                </c:pt>
                <c:pt idx="826">
                  <c:v>31.79</c:v>
                </c:pt>
                <c:pt idx="827">
                  <c:v>28.024999999999999</c:v>
                </c:pt>
                <c:pt idx="828">
                  <c:v>30.78</c:v>
                </c:pt>
                <c:pt idx="829">
                  <c:v>21.85</c:v>
                </c:pt>
                <c:pt idx="830">
                  <c:v>33.1</c:v>
                </c:pt>
                <c:pt idx="831">
                  <c:v>25.84</c:v>
                </c:pt>
                <c:pt idx="832">
                  <c:v>23.844999999999999</c:v>
                </c:pt>
                <c:pt idx="833">
                  <c:v>34.39</c:v>
                </c:pt>
                <c:pt idx="834">
                  <c:v>33.82</c:v>
                </c:pt>
                <c:pt idx="835">
                  <c:v>35.97</c:v>
                </c:pt>
                <c:pt idx="836">
                  <c:v>31.5</c:v>
                </c:pt>
                <c:pt idx="837">
                  <c:v>28.31</c:v>
                </c:pt>
                <c:pt idx="838">
                  <c:v>23.465</c:v>
                </c:pt>
                <c:pt idx="839">
                  <c:v>31.35</c:v>
                </c:pt>
                <c:pt idx="840">
                  <c:v>31.1</c:v>
                </c:pt>
                <c:pt idx="841">
                  <c:v>24.7</c:v>
                </c:pt>
                <c:pt idx="842">
                  <c:v>32.78</c:v>
                </c:pt>
                <c:pt idx="843">
                  <c:v>29.81</c:v>
                </c:pt>
                <c:pt idx="844">
                  <c:v>30.495000000000001</c:v>
                </c:pt>
                <c:pt idx="845">
                  <c:v>32.450000000000003</c:v>
                </c:pt>
                <c:pt idx="846">
                  <c:v>34.200000000000003</c:v>
                </c:pt>
                <c:pt idx="847">
                  <c:v>50.38</c:v>
                </c:pt>
                <c:pt idx="848">
                  <c:v>24.1</c:v>
                </c:pt>
                <c:pt idx="849">
                  <c:v>32.774999999999999</c:v>
                </c:pt>
                <c:pt idx="850">
                  <c:v>30.78</c:v>
                </c:pt>
                <c:pt idx="851">
                  <c:v>32.299999999999997</c:v>
                </c:pt>
                <c:pt idx="852">
                  <c:v>35.53</c:v>
                </c:pt>
                <c:pt idx="853">
                  <c:v>23.75</c:v>
                </c:pt>
                <c:pt idx="854">
                  <c:v>23.844999999999999</c:v>
                </c:pt>
                <c:pt idx="855">
                  <c:v>29.6</c:v>
                </c:pt>
                <c:pt idx="856">
                  <c:v>33.11</c:v>
                </c:pt>
                <c:pt idx="857">
                  <c:v>24.13</c:v>
                </c:pt>
                <c:pt idx="858">
                  <c:v>32.229999999999997</c:v>
                </c:pt>
                <c:pt idx="859">
                  <c:v>28.1</c:v>
                </c:pt>
                <c:pt idx="860">
                  <c:v>47.6</c:v>
                </c:pt>
                <c:pt idx="861">
                  <c:v>28</c:v>
                </c:pt>
                <c:pt idx="862">
                  <c:v>33.534999999999997</c:v>
                </c:pt>
                <c:pt idx="863">
                  <c:v>19.855</c:v>
                </c:pt>
                <c:pt idx="864">
                  <c:v>25.4</c:v>
                </c:pt>
                <c:pt idx="865">
                  <c:v>29.9</c:v>
                </c:pt>
                <c:pt idx="866">
                  <c:v>37.29</c:v>
                </c:pt>
                <c:pt idx="867">
                  <c:v>43.7</c:v>
                </c:pt>
                <c:pt idx="868">
                  <c:v>23.655000000000001</c:v>
                </c:pt>
                <c:pt idx="869">
                  <c:v>24.3</c:v>
                </c:pt>
                <c:pt idx="870">
                  <c:v>36.200000000000003</c:v>
                </c:pt>
                <c:pt idx="871">
                  <c:v>29.48</c:v>
                </c:pt>
                <c:pt idx="872">
                  <c:v>24.86</c:v>
                </c:pt>
                <c:pt idx="873">
                  <c:v>30.1</c:v>
                </c:pt>
                <c:pt idx="874">
                  <c:v>21.85</c:v>
                </c:pt>
                <c:pt idx="875">
                  <c:v>28.12</c:v>
                </c:pt>
                <c:pt idx="876">
                  <c:v>27.1</c:v>
                </c:pt>
                <c:pt idx="877">
                  <c:v>33.44</c:v>
                </c:pt>
                <c:pt idx="878">
                  <c:v>28.8</c:v>
                </c:pt>
                <c:pt idx="879">
                  <c:v>29.5</c:v>
                </c:pt>
                <c:pt idx="880">
                  <c:v>34.799999999999997</c:v>
                </c:pt>
                <c:pt idx="881">
                  <c:v>27.36</c:v>
                </c:pt>
                <c:pt idx="882">
                  <c:v>22.135000000000002</c:v>
                </c:pt>
                <c:pt idx="883">
                  <c:v>37.049999999999997</c:v>
                </c:pt>
                <c:pt idx="884">
                  <c:v>26.695</c:v>
                </c:pt>
                <c:pt idx="885">
                  <c:v>28.93</c:v>
                </c:pt>
                <c:pt idx="886">
                  <c:v>28.975000000000001</c:v>
                </c:pt>
                <c:pt idx="887">
                  <c:v>30.02</c:v>
                </c:pt>
                <c:pt idx="888">
                  <c:v>39.5</c:v>
                </c:pt>
                <c:pt idx="889">
                  <c:v>33.630000000000003</c:v>
                </c:pt>
                <c:pt idx="890">
                  <c:v>26.885000000000002</c:v>
                </c:pt>
                <c:pt idx="891">
                  <c:v>29.04</c:v>
                </c:pt>
                <c:pt idx="892">
                  <c:v>24.035</c:v>
                </c:pt>
                <c:pt idx="893">
                  <c:v>38.94</c:v>
                </c:pt>
                <c:pt idx="894">
                  <c:v>32.11</c:v>
                </c:pt>
                <c:pt idx="895">
                  <c:v>44</c:v>
                </c:pt>
                <c:pt idx="896">
                  <c:v>20.045000000000002</c:v>
                </c:pt>
                <c:pt idx="897">
                  <c:v>25.555</c:v>
                </c:pt>
                <c:pt idx="898">
                  <c:v>40.26</c:v>
                </c:pt>
                <c:pt idx="899">
                  <c:v>22.515000000000001</c:v>
                </c:pt>
                <c:pt idx="900">
                  <c:v>22.515000000000001</c:v>
                </c:pt>
                <c:pt idx="901">
                  <c:v>40.92</c:v>
                </c:pt>
                <c:pt idx="902">
                  <c:v>27.265000000000001</c:v>
                </c:pt>
                <c:pt idx="903">
                  <c:v>36.85</c:v>
                </c:pt>
                <c:pt idx="904">
                  <c:v>35.1</c:v>
                </c:pt>
                <c:pt idx="905">
                  <c:v>29.355</c:v>
                </c:pt>
                <c:pt idx="906">
                  <c:v>32.585000000000001</c:v>
                </c:pt>
                <c:pt idx="907">
                  <c:v>32.340000000000003</c:v>
                </c:pt>
                <c:pt idx="908">
                  <c:v>39.799999999999997</c:v>
                </c:pt>
                <c:pt idx="909">
                  <c:v>24.6</c:v>
                </c:pt>
                <c:pt idx="910">
                  <c:v>28.31</c:v>
                </c:pt>
                <c:pt idx="911">
                  <c:v>31.73</c:v>
                </c:pt>
                <c:pt idx="912">
                  <c:v>26.695</c:v>
                </c:pt>
                <c:pt idx="913">
                  <c:v>27.5</c:v>
                </c:pt>
                <c:pt idx="914">
                  <c:v>24.605</c:v>
                </c:pt>
                <c:pt idx="915">
                  <c:v>33.99</c:v>
                </c:pt>
                <c:pt idx="916">
                  <c:v>26.885000000000002</c:v>
                </c:pt>
                <c:pt idx="917">
                  <c:v>22.895</c:v>
                </c:pt>
                <c:pt idx="918">
                  <c:v>28.2</c:v>
                </c:pt>
                <c:pt idx="919">
                  <c:v>34.21</c:v>
                </c:pt>
                <c:pt idx="920">
                  <c:v>25</c:v>
                </c:pt>
                <c:pt idx="921">
                  <c:v>33.200000000000003</c:v>
                </c:pt>
                <c:pt idx="922">
                  <c:v>31</c:v>
                </c:pt>
                <c:pt idx="923">
                  <c:v>35.814999999999998</c:v>
                </c:pt>
                <c:pt idx="924">
                  <c:v>23.2</c:v>
                </c:pt>
                <c:pt idx="925">
                  <c:v>32.11</c:v>
                </c:pt>
                <c:pt idx="926">
                  <c:v>23.4</c:v>
                </c:pt>
                <c:pt idx="927">
                  <c:v>20.100000000000001</c:v>
                </c:pt>
                <c:pt idx="928">
                  <c:v>39.159999999999997</c:v>
                </c:pt>
                <c:pt idx="929">
                  <c:v>34.21</c:v>
                </c:pt>
                <c:pt idx="930">
                  <c:v>46.53</c:v>
                </c:pt>
                <c:pt idx="931">
                  <c:v>32.5</c:v>
                </c:pt>
                <c:pt idx="932">
                  <c:v>25.8</c:v>
                </c:pt>
                <c:pt idx="933">
                  <c:v>35.299999999999997</c:v>
                </c:pt>
                <c:pt idx="934">
                  <c:v>37.18</c:v>
                </c:pt>
                <c:pt idx="935">
                  <c:v>27.5</c:v>
                </c:pt>
                <c:pt idx="936">
                  <c:v>29.734999999999999</c:v>
                </c:pt>
                <c:pt idx="937">
                  <c:v>24.225000000000001</c:v>
                </c:pt>
                <c:pt idx="938">
                  <c:v>26.18</c:v>
                </c:pt>
                <c:pt idx="939">
                  <c:v>29.48</c:v>
                </c:pt>
                <c:pt idx="940">
                  <c:v>23.21</c:v>
                </c:pt>
                <c:pt idx="941">
                  <c:v>46.09</c:v>
                </c:pt>
                <c:pt idx="942">
                  <c:v>40.185000000000002</c:v>
                </c:pt>
                <c:pt idx="943">
                  <c:v>22.61</c:v>
                </c:pt>
                <c:pt idx="944">
                  <c:v>39.93</c:v>
                </c:pt>
                <c:pt idx="945">
                  <c:v>35.799999999999997</c:v>
                </c:pt>
                <c:pt idx="946">
                  <c:v>35.799999999999997</c:v>
                </c:pt>
                <c:pt idx="947">
                  <c:v>34.200000000000003</c:v>
                </c:pt>
                <c:pt idx="948">
                  <c:v>31.254999999999999</c:v>
                </c:pt>
                <c:pt idx="949">
                  <c:v>29.7</c:v>
                </c:pt>
                <c:pt idx="950">
                  <c:v>18.335000000000001</c:v>
                </c:pt>
                <c:pt idx="951">
                  <c:v>42.9</c:v>
                </c:pt>
                <c:pt idx="952">
                  <c:v>28.405000000000001</c:v>
                </c:pt>
                <c:pt idx="953">
                  <c:v>30.2</c:v>
                </c:pt>
                <c:pt idx="954">
                  <c:v>27.835000000000001</c:v>
                </c:pt>
                <c:pt idx="955">
                  <c:v>39.49</c:v>
                </c:pt>
                <c:pt idx="956">
                  <c:v>30.8</c:v>
                </c:pt>
                <c:pt idx="957">
                  <c:v>26.79</c:v>
                </c:pt>
                <c:pt idx="958">
                  <c:v>34.96</c:v>
                </c:pt>
                <c:pt idx="959">
                  <c:v>36.67</c:v>
                </c:pt>
                <c:pt idx="960">
                  <c:v>39.615000000000002</c:v>
                </c:pt>
                <c:pt idx="961">
                  <c:v>25.9</c:v>
                </c:pt>
                <c:pt idx="962">
                  <c:v>35.200000000000003</c:v>
                </c:pt>
                <c:pt idx="963">
                  <c:v>24.795000000000002</c:v>
                </c:pt>
                <c:pt idx="964">
                  <c:v>36.765000000000001</c:v>
                </c:pt>
                <c:pt idx="965">
                  <c:v>27.1</c:v>
                </c:pt>
                <c:pt idx="966">
                  <c:v>24.795000000000002</c:v>
                </c:pt>
                <c:pt idx="967">
                  <c:v>25.364999999999998</c:v>
                </c:pt>
                <c:pt idx="968">
                  <c:v>25.745000000000001</c:v>
                </c:pt>
                <c:pt idx="969">
                  <c:v>34.32</c:v>
                </c:pt>
                <c:pt idx="970">
                  <c:v>28.16</c:v>
                </c:pt>
                <c:pt idx="971">
                  <c:v>23.56</c:v>
                </c:pt>
                <c:pt idx="972">
                  <c:v>20.234999999999999</c:v>
                </c:pt>
                <c:pt idx="973">
                  <c:v>40.5</c:v>
                </c:pt>
                <c:pt idx="974">
                  <c:v>35.42</c:v>
                </c:pt>
                <c:pt idx="975">
                  <c:v>22.895</c:v>
                </c:pt>
                <c:pt idx="976">
                  <c:v>40.15</c:v>
                </c:pt>
                <c:pt idx="977">
                  <c:v>29.15</c:v>
                </c:pt>
                <c:pt idx="978">
                  <c:v>39.994999999999997</c:v>
                </c:pt>
                <c:pt idx="979">
                  <c:v>29.92</c:v>
                </c:pt>
                <c:pt idx="980">
                  <c:v>25.46</c:v>
                </c:pt>
                <c:pt idx="981">
                  <c:v>21.375</c:v>
                </c:pt>
                <c:pt idx="982">
                  <c:v>25.9</c:v>
                </c:pt>
                <c:pt idx="983">
                  <c:v>30.59</c:v>
                </c:pt>
                <c:pt idx="984">
                  <c:v>30.114999999999998</c:v>
                </c:pt>
                <c:pt idx="985">
                  <c:v>25.8</c:v>
                </c:pt>
                <c:pt idx="986">
                  <c:v>30.114999999999998</c:v>
                </c:pt>
                <c:pt idx="987">
                  <c:v>27.645</c:v>
                </c:pt>
                <c:pt idx="988">
                  <c:v>34.674999999999997</c:v>
                </c:pt>
                <c:pt idx="989">
                  <c:v>20.52</c:v>
                </c:pt>
                <c:pt idx="990">
                  <c:v>19.8</c:v>
                </c:pt>
                <c:pt idx="991">
                  <c:v>27.835000000000001</c:v>
                </c:pt>
                <c:pt idx="992">
                  <c:v>31.6</c:v>
                </c:pt>
                <c:pt idx="993">
                  <c:v>28.27</c:v>
                </c:pt>
                <c:pt idx="994">
                  <c:v>20.045000000000002</c:v>
                </c:pt>
                <c:pt idx="995">
                  <c:v>23.274999999999999</c:v>
                </c:pt>
                <c:pt idx="996">
                  <c:v>34.1</c:v>
                </c:pt>
                <c:pt idx="997">
                  <c:v>36.85</c:v>
                </c:pt>
                <c:pt idx="998">
                  <c:v>36.29</c:v>
                </c:pt>
                <c:pt idx="999">
                  <c:v>26.885000000000002</c:v>
                </c:pt>
                <c:pt idx="1000">
                  <c:v>22.99</c:v>
                </c:pt>
                <c:pt idx="1001">
                  <c:v>32.700000000000003</c:v>
                </c:pt>
                <c:pt idx="1002">
                  <c:v>25.8</c:v>
                </c:pt>
                <c:pt idx="1003">
                  <c:v>29.6</c:v>
                </c:pt>
                <c:pt idx="1004">
                  <c:v>19.190000000000001</c:v>
                </c:pt>
                <c:pt idx="1005">
                  <c:v>31.73</c:v>
                </c:pt>
                <c:pt idx="1006">
                  <c:v>29.26</c:v>
                </c:pt>
                <c:pt idx="1007">
                  <c:v>28.215</c:v>
                </c:pt>
                <c:pt idx="1008">
                  <c:v>24.984999999999999</c:v>
                </c:pt>
                <c:pt idx="1009">
                  <c:v>27.74</c:v>
                </c:pt>
                <c:pt idx="1010">
                  <c:v>22.8</c:v>
                </c:pt>
                <c:pt idx="1011">
                  <c:v>20.13</c:v>
                </c:pt>
                <c:pt idx="1012">
                  <c:v>33.33</c:v>
                </c:pt>
                <c:pt idx="1013">
                  <c:v>32.299999999999997</c:v>
                </c:pt>
                <c:pt idx="1014">
                  <c:v>27.6</c:v>
                </c:pt>
                <c:pt idx="1015">
                  <c:v>25.46</c:v>
                </c:pt>
                <c:pt idx="1016">
                  <c:v>24.605</c:v>
                </c:pt>
                <c:pt idx="1017">
                  <c:v>34.200000000000003</c:v>
                </c:pt>
                <c:pt idx="1018">
                  <c:v>35.814999999999998</c:v>
                </c:pt>
                <c:pt idx="1019">
                  <c:v>32.68</c:v>
                </c:pt>
                <c:pt idx="1020">
                  <c:v>37</c:v>
                </c:pt>
                <c:pt idx="1021">
                  <c:v>31.02</c:v>
                </c:pt>
                <c:pt idx="1022">
                  <c:v>36.08</c:v>
                </c:pt>
                <c:pt idx="1023">
                  <c:v>23.32</c:v>
                </c:pt>
                <c:pt idx="1024">
                  <c:v>45.32</c:v>
                </c:pt>
                <c:pt idx="1025">
                  <c:v>34.6</c:v>
                </c:pt>
                <c:pt idx="1026">
                  <c:v>26.03</c:v>
                </c:pt>
                <c:pt idx="1027">
                  <c:v>18.715</c:v>
                </c:pt>
                <c:pt idx="1028">
                  <c:v>31.6</c:v>
                </c:pt>
                <c:pt idx="1029">
                  <c:v>17.29</c:v>
                </c:pt>
                <c:pt idx="1030">
                  <c:v>23.655000000000001</c:v>
                </c:pt>
                <c:pt idx="1031">
                  <c:v>35.200000000000003</c:v>
                </c:pt>
                <c:pt idx="1032">
                  <c:v>27.93</c:v>
                </c:pt>
                <c:pt idx="1033">
                  <c:v>21.565000000000001</c:v>
                </c:pt>
                <c:pt idx="1034">
                  <c:v>38.380000000000003</c:v>
                </c:pt>
                <c:pt idx="1035">
                  <c:v>23</c:v>
                </c:pt>
                <c:pt idx="1036">
                  <c:v>37.07</c:v>
                </c:pt>
                <c:pt idx="1037">
                  <c:v>30.495000000000001</c:v>
                </c:pt>
                <c:pt idx="1038">
                  <c:v>28.88</c:v>
                </c:pt>
                <c:pt idx="1039">
                  <c:v>27.265000000000001</c:v>
                </c:pt>
                <c:pt idx="1040">
                  <c:v>28.024999999999999</c:v>
                </c:pt>
                <c:pt idx="1041">
                  <c:v>23.085000000000001</c:v>
                </c:pt>
                <c:pt idx="1042">
                  <c:v>30.684999999999999</c:v>
                </c:pt>
                <c:pt idx="1043">
                  <c:v>25.8</c:v>
                </c:pt>
                <c:pt idx="1044">
                  <c:v>35.244999999999997</c:v>
                </c:pt>
                <c:pt idx="1045">
                  <c:v>24.7</c:v>
                </c:pt>
                <c:pt idx="1046">
                  <c:v>25.08</c:v>
                </c:pt>
                <c:pt idx="1047">
                  <c:v>52.58</c:v>
                </c:pt>
                <c:pt idx="1048">
                  <c:v>22.515000000000001</c:v>
                </c:pt>
                <c:pt idx="1049">
                  <c:v>30.9</c:v>
                </c:pt>
                <c:pt idx="1050">
                  <c:v>36.954999999999998</c:v>
                </c:pt>
                <c:pt idx="1051">
                  <c:v>26.41</c:v>
                </c:pt>
                <c:pt idx="1052">
                  <c:v>29.83</c:v>
                </c:pt>
                <c:pt idx="1053">
                  <c:v>29.8</c:v>
                </c:pt>
                <c:pt idx="1054">
                  <c:v>21.47</c:v>
                </c:pt>
                <c:pt idx="1055">
                  <c:v>27.645</c:v>
                </c:pt>
                <c:pt idx="1056">
                  <c:v>28.9</c:v>
                </c:pt>
                <c:pt idx="1057">
                  <c:v>31.79</c:v>
                </c:pt>
                <c:pt idx="1058">
                  <c:v>39.49</c:v>
                </c:pt>
                <c:pt idx="1059">
                  <c:v>33.82</c:v>
                </c:pt>
                <c:pt idx="1060">
                  <c:v>32.01</c:v>
                </c:pt>
                <c:pt idx="1061">
                  <c:v>27.94</c:v>
                </c:pt>
                <c:pt idx="1062">
                  <c:v>41.14</c:v>
                </c:pt>
                <c:pt idx="1063">
                  <c:v>28.594999999999999</c:v>
                </c:pt>
                <c:pt idx="1064">
                  <c:v>25.6</c:v>
                </c:pt>
                <c:pt idx="1065">
                  <c:v>25.3</c:v>
                </c:pt>
                <c:pt idx="1066">
                  <c:v>37.29</c:v>
                </c:pt>
                <c:pt idx="1067">
                  <c:v>42.655000000000001</c:v>
                </c:pt>
                <c:pt idx="1068">
                  <c:v>21.66</c:v>
                </c:pt>
                <c:pt idx="1069">
                  <c:v>31.9</c:v>
                </c:pt>
                <c:pt idx="1070">
                  <c:v>37.07</c:v>
                </c:pt>
                <c:pt idx="1071">
                  <c:v>31.445</c:v>
                </c:pt>
                <c:pt idx="1072">
                  <c:v>31.254999999999999</c:v>
                </c:pt>
                <c:pt idx="1073">
                  <c:v>28.88</c:v>
                </c:pt>
                <c:pt idx="1074">
                  <c:v>18.335000000000001</c:v>
                </c:pt>
                <c:pt idx="1075">
                  <c:v>29.59</c:v>
                </c:pt>
                <c:pt idx="1076">
                  <c:v>32</c:v>
                </c:pt>
                <c:pt idx="1077">
                  <c:v>26.03</c:v>
                </c:pt>
                <c:pt idx="1078">
                  <c:v>31.68</c:v>
                </c:pt>
                <c:pt idx="1079">
                  <c:v>33.659999999999997</c:v>
                </c:pt>
                <c:pt idx="1080">
                  <c:v>21.78</c:v>
                </c:pt>
                <c:pt idx="1081">
                  <c:v>27.835000000000001</c:v>
                </c:pt>
                <c:pt idx="1082">
                  <c:v>19.95</c:v>
                </c:pt>
                <c:pt idx="1083">
                  <c:v>31.5</c:v>
                </c:pt>
                <c:pt idx="1084">
                  <c:v>30.495000000000001</c:v>
                </c:pt>
                <c:pt idx="1085">
                  <c:v>18.3</c:v>
                </c:pt>
                <c:pt idx="1086">
                  <c:v>28.975000000000001</c:v>
                </c:pt>
                <c:pt idx="1087">
                  <c:v>31.54</c:v>
                </c:pt>
                <c:pt idx="1088">
                  <c:v>47.74</c:v>
                </c:pt>
                <c:pt idx="1089">
                  <c:v>22.1</c:v>
                </c:pt>
                <c:pt idx="1090">
                  <c:v>36.19</c:v>
                </c:pt>
                <c:pt idx="1091">
                  <c:v>29.83</c:v>
                </c:pt>
                <c:pt idx="1092">
                  <c:v>32.700000000000003</c:v>
                </c:pt>
                <c:pt idx="1093">
                  <c:v>30.4</c:v>
                </c:pt>
                <c:pt idx="1094">
                  <c:v>33.700000000000003</c:v>
                </c:pt>
                <c:pt idx="1095">
                  <c:v>31.35</c:v>
                </c:pt>
                <c:pt idx="1096">
                  <c:v>34.96</c:v>
                </c:pt>
                <c:pt idx="1097">
                  <c:v>33.770000000000003</c:v>
                </c:pt>
                <c:pt idx="1098">
                  <c:v>30.875</c:v>
                </c:pt>
                <c:pt idx="1099">
                  <c:v>33.99</c:v>
                </c:pt>
                <c:pt idx="1100">
                  <c:v>19.094999999999999</c:v>
                </c:pt>
                <c:pt idx="1101">
                  <c:v>28.6</c:v>
                </c:pt>
                <c:pt idx="1102">
                  <c:v>38.94</c:v>
                </c:pt>
                <c:pt idx="1103">
                  <c:v>36.08</c:v>
                </c:pt>
                <c:pt idx="1104">
                  <c:v>29.8</c:v>
                </c:pt>
                <c:pt idx="1105">
                  <c:v>31.24</c:v>
                </c:pt>
                <c:pt idx="1106">
                  <c:v>29.925000000000001</c:v>
                </c:pt>
                <c:pt idx="1107">
                  <c:v>26.22</c:v>
                </c:pt>
                <c:pt idx="1108">
                  <c:v>30</c:v>
                </c:pt>
                <c:pt idx="1109">
                  <c:v>20.350000000000001</c:v>
                </c:pt>
                <c:pt idx="1110">
                  <c:v>32.299999999999997</c:v>
                </c:pt>
                <c:pt idx="1111">
                  <c:v>38.39</c:v>
                </c:pt>
                <c:pt idx="1112">
                  <c:v>25.85</c:v>
                </c:pt>
                <c:pt idx="1113">
                  <c:v>26.315000000000001</c:v>
                </c:pt>
                <c:pt idx="1114">
                  <c:v>24.51</c:v>
                </c:pt>
                <c:pt idx="1115">
                  <c:v>32.67</c:v>
                </c:pt>
                <c:pt idx="1116">
                  <c:v>29.64</c:v>
                </c:pt>
                <c:pt idx="1117">
                  <c:v>33.33</c:v>
                </c:pt>
                <c:pt idx="1118">
                  <c:v>35.75</c:v>
                </c:pt>
                <c:pt idx="1119">
                  <c:v>19.95</c:v>
                </c:pt>
                <c:pt idx="1120">
                  <c:v>31.4</c:v>
                </c:pt>
                <c:pt idx="1121">
                  <c:v>38.17</c:v>
                </c:pt>
                <c:pt idx="1122">
                  <c:v>36.86</c:v>
                </c:pt>
                <c:pt idx="1123">
                  <c:v>32.395000000000003</c:v>
                </c:pt>
                <c:pt idx="1124">
                  <c:v>42.75</c:v>
                </c:pt>
                <c:pt idx="1125">
                  <c:v>25.08</c:v>
                </c:pt>
                <c:pt idx="1126">
                  <c:v>29.9</c:v>
                </c:pt>
                <c:pt idx="1127">
                  <c:v>35.86</c:v>
                </c:pt>
                <c:pt idx="1128">
                  <c:v>32.799999999999997</c:v>
                </c:pt>
                <c:pt idx="1129">
                  <c:v>18.600000000000001</c:v>
                </c:pt>
                <c:pt idx="1130">
                  <c:v>23.87</c:v>
                </c:pt>
                <c:pt idx="1131">
                  <c:v>45.9</c:v>
                </c:pt>
                <c:pt idx="1132">
                  <c:v>40.28</c:v>
                </c:pt>
                <c:pt idx="1133">
                  <c:v>18.335000000000001</c:v>
                </c:pt>
                <c:pt idx="1134">
                  <c:v>33.82</c:v>
                </c:pt>
                <c:pt idx="1135">
                  <c:v>28.12</c:v>
                </c:pt>
                <c:pt idx="1136">
                  <c:v>25</c:v>
                </c:pt>
                <c:pt idx="1137">
                  <c:v>22.23</c:v>
                </c:pt>
                <c:pt idx="1138">
                  <c:v>30.25</c:v>
                </c:pt>
                <c:pt idx="1139">
                  <c:v>32.49</c:v>
                </c:pt>
                <c:pt idx="1140">
                  <c:v>37.07</c:v>
                </c:pt>
                <c:pt idx="1141">
                  <c:v>32.6</c:v>
                </c:pt>
                <c:pt idx="1142">
                  <c:v>24.86</c:v>
                </c:pt>
                <c:pt idx="1143">
                  <c:v>32.340000000000003</c:v>
                </c:pt>
                <c:pt idx="1144">
                  <c:v>32.299999999999997</c:v>
                </c:pt>
                <c:pt idx="1145">
                  <c:v>32.774999999999999</c:v>
                </c:pt>
                <c:pt idx="1146">
                  <c:v>32.799999999999997</c:v>
                </c:pt>
                <c:pt idx="1147">
                  <c:v>31.92</c:v>
                </c:pt>
                <c:pt idx="1148">
                  <c:v>21.5</c:v>
                </c:pt>
                <c:pt idx="1149">
                  <c:v>34.1</c:v>
                </c:pt>
                <c:pt idx="1150">
                  <c:v>30.305</c:v>
                </c:pt>
                <c:pt idx="1151">
                  <c:v>36.479999999999997</c:v>
                </c:pt>
                <c:pt idx="1152">
                  <c:v>32.56</c:v>
                </c:pt>
                <c:pt idx="1153">
                  <c:v>35.814999999999998</c:v>
                </c:pt>
                <c:pt idx="1154">
                  <c:v>27.93</c:v>
                </c:pt>
                <c:pt idx="1155">
                  <c:v>22.135000000000002</c:v>
                </c:pt>
                <c:pt idx="1156">
                  <c:v>44.88</c:v>
                </c:pt>
                <c:pt idx="1157">
                  <c:v>23.18</c:v>
                </c:pt>
                <c:pt idx="1158">
                  <c:v>30.59</c:v>
                </c:pt>
                <c:pt idx="1159">
                  <c:v>41.1</c:v>
                </c:pt>
                <c:pt idx="1160">
                  <c:v>34.58</c:v>
                </c:pt>
                <c:pt idx="1161">
                  <c:v>42.13</c:v>
                </c:pt>
                <c:pt idx="1162">
                  <c:v>38.83</c:v>
                </c:pt>
                <c:pt idx="1163">
                  <c:v>28.215</c:v>
                </c:pt>
                <c:pt idx="1164">
                  <c:v>28.31</c:v>
                </c:pt>
                <c:pt idx="1165">
                  <c:v>26.125</c:v>
                </c:pt>
                <c:pt idx="1166">
                  <c:v>40.369999999999997</c:v>
                </c:pt>
                <c:pt idx="1167">
                  <c:v>24.6</c:v>
                </c:pt>
                <c:pt idx="1168">
                  <c:v>35.200000000000003</c:v>
                </c:pt>
                <c:pt idx="1169">
                  <c:v>34.104999999999997</c:v>
                </c:pt>
                <c:pt idx="1170">
                  <c:v>27.36</c:v>
                </c:pt>
                <c:pt idx="1171">
                  <c:v>26.7</c:v>
                </c:pt>
                <c:pt idx="1172">
                  <c:v>41.91</c:v>
                </c:pt>
                <c:pt idx="1173">
                  <c:v>29.26</c:v>
                </c:pt>
                <c:pt idx="1174">
                  <c:v>32.11</c:v>
                </c:pt>
                <c:pt idx="1175">
                  <c:v>27.1</c:v>
                </c:pt>
                <c:pt idx="1176">
                  <c:v>24.13</c:v>
                </c:pt>
                <c:pt idx="1177">
                  <c:v>27.4</c:v>
                </c:pt>
                <c:pt idx="1178">
                  <c:v>34.865000000000002</c:v>
                </c:pt>
                <c:pt idx="1179">
                  <c:v>29.81</c:v>
                </c:pt>
                <c:pt idx="1180">
                  <c:v>41.325000000000003</c:v>
                </c:pt>
                <c:pt idx="1181">
                  <c:v>29.925000000000001</c:v>
                </c:pt>
                <c:pt idx="1182">
                  <c:v>30.3</c:v>
                </c:pt>
                <c:pt idx="1183">
                  <c:v>27.36</c:v>
                </c:pt>
                <c:pt idx="1184">
                  <c:v>28.49</c:v>
                </c:pt>
                <c:pt idx="1185">
                  <c:v>23.56</c:v>
                </c:pt>
                <c:pt idx="1186">
                  <c:v>35.625</c:v>
                </c:pt>
                <c:pt idx="1187">
                  <c:v>32.68</c:v>
                </c:pt>
                <c:pt idx="1188">
                  <c:v>25.27</c:v>
                </c:pt>
                <c:pt idx="1189">
                  <c:v>28</c:v>
                </c:pt>
                <c:pt idx="1190">
                  <c:v>32.774999999999999</c:v>
                </c:pt>
                <c:pt idx="1191">
                  <c:v>21.754999999999999</c:v>
                </c:pt>
                <c:pt idx="1192">
                  <c:v>32.395000000000003</c:v>
                </c:pt>
                <c:pt idx="1193">
                  <c:v>36.575000000000003</c:v>
                </c:pt>
                <c:pt idx="1194">
                  <c:v>21.754999999999999</c:v>
                </c:pt>
                <c:pt idx="1195">
                  <c:v>27.93</c:v>
                </c:pt>
                <c:pt idx="1196">
                  <c:v>30.02</c:v>
                </c:pt>
                <c:pt idx="1197">
                  <c:v>33.549999999999997</c:v>
                </c:pt>
                <c:pt idx="1198">
                  <c:v>29.355</c:v>
                </c:pt>
                <c:pt idx="1199">
                  <c:v>25.8</c:v>
                </c:pt>
                <c:pt idx="1200">
                  <c:v>24.32</c:v>
                </c:pt>
                <c:pt idx="1201">
                  <c:v>40.375</c:v>
                </c:pt>
                <c:pt idx="1202">
                  <c:v>32.11</c:v>
                </c:pt>
                <c:pt idx="1203">
                  <c:v>32.299999999999997</c:v>
                </c:pt>
                <c:pt idx="1204">
                  <c:v>27.28</c:v>
                </c:pt>
                <c:pt idx="1205">
                  <c:v>17.86</c:v>
                </c:pt>
                <c:pt idx="1206">
                  <c:v>34.799999999999997</c:v>
                </c:pt>
                <c:pt idx="1207">
                  <c:v>33.4</c:v>
                </c:pt>
                <c:pt idx="1208">
                  <c:v>25.555</c:v>
                </c:pt>
                <c:pt idx="1209">
                  <c:v>37.1</c:v>
                </c:pt>
                <c:pt idx="1210">
                  <c:v>30.875</c:v>
                </c:pt>
                <c:pt idx="1211">
                  <c:v>34.1</c:v>
                </c:pt>
                <c:pt idx="1212">
                  <c:v>21.47</c:v>
                </c:pt>
                <c:pt idx="1213">
                  <c:v>33.299999999999997</c:v>
                </c:pt>
                <c:pt idx="1214">
                  <c:v>31.254999999999999</c:v>
                </c:pt>
                <c:pt idx="1215">
                  <c:v>39.14</c:v>
                </c:pt>
                <c:pt idx="1216">
                  <c:v>25.08</c:v>
                </c:pt>
                <c:pt idx="1217">
                  <c:v>37.29</c:v>
                </c:pt>
                <c:pt idx="1218">
                  <c:v>34.6</c:v>
                </c:pt>
                <c:pt idx="1219">
                  <c:v>30.21</c:v>
                </c:pt>
                <c:pt idx="1220">
                  <c:v>21.945</c:v>
                </c:pt>
                <c:pt idx="1221">
                  <c:v>24.97</c:v>
                </c:pt>
                <c:pt idx="1222">
                  <c:v>25.3</c:v>
                </c:pt>
                <c:pt idx="1223">
                  <c:v>24.42</c:v>
                </c:pt>
                <c:pt idx="1224">
                  <c:v>23.94</c:v>
                </c:pt>
                <c:pt idx="1225">
                  <c:v>39.82</c:v>
                </c:pt>
                <c:pt idx="1226">
                  <c:v>16.815000000000001</c:v>
                </c:pt>
                <c:pt idx="1227">
                  <c:v>37.18</c:v>
                </c:pt>
                <c:pt idx="1228">
                  <c:v>34.43</c:v>
                </c:pt>
                <c:pt idx="1229">
                  <c:v>30.305</c:v>
                </c:pt>
                <c:pt idx="1230">
                  <c:v>34.484999999999999</c:v>
                </c:pt>
                <c:pt idx="1231">
                  <c:v>21.8</c:v>
                </c:pt>
                <c:pt idx="1232">
                  <c:v>24.605</c:v>
                </c:pt>
                <c:pt idx="1233">
                  <c:v>23.3</c:v>
                </c:pt>
                <c:pt idx="1234">
                  <c:v>27.83</c:v>
                </c:pt>
                <c:pt idx="1235">
                  <c:v>31.065000000000001</c:v>
                </c:pt>
                <c:pt idx="1236">
                  <c:v>21.66</c:v>
                </c:pt>
                <c:pt idx="1237">
                  <c:v>28.215</c:v>
                </c:pt>
                <c:pt idx="1238">
                  <c:v>22.704999999999998</c:v>
                </c:pt>
                <c:pt idx="1239">
                  <c:v>42.13</c:v>
                </c:pt>
                <c:pt idx="1240">
                  <c:v>41.8</c:v>
                </c:pt>
                <c:pt idx="1241">
                  <c:v>36.96</c:v>
                </c:pt>
                <c:pt idx="1242">
                  <c:v>21.28</c:v>
                </c:pt>
                <c:pt idx="1243">
                  <c:v>33.11</c:v>
                </c:pt>
                <c:pt idx="1244">
                  <c:v>33.33</c:v>
                </c:pt>
                <c:pt idx="1245">
                  <c:v>24.3</c:v>
                </c:pt>
                <c:pt idx="1246">
                  <c:v>25.7</c:v>
                </c:pt>
                <c:pt idx="1247">
                  <c:v>29.4</c:v>
                </c:pt>
                <c:pt idx="1248">
                  <c:v>39.82</c:v>
                </c:pt>
                <c:pt idx="1249">
                  <c:v>33.630000000000003</c:v>
                </c:pt>
                <c:pt idx="1250">
                  <c:v>29.83</c:v>
                </c:pt>
                <c:pt idx="1251">
                  <c:v>19.8</c:v>
                </c:pt>
                <c:pt idx="1252">
                  <c:v>27.3</c:v>
                </c:pt>
                <c:pt idx="1253">
                  <c:v>29.3</c:v>
                </c:pt>
                <c:pt idx="1254">
                  <c:v>27.72</c:v>
                </c:pt>
                <c:pt idx="1255">
                  <c:v>37.9</c:v>
                </c:pt>
                <c:pt idx="1256">
                  <c:v>36.384999999999998</c:v>
                </c:pt>
                <c:pt idx="1257">
                  <c:v>27.645</c:v>
                </c:pt>
                <c:pt idx="1258">
                  <c:v>37.715000000000003</c:v>
                </c:pt>
                <c:pt idx="1259">
                  <c:v>23.18</c:v>
                </c:pt>
                <c:pt idx="1260">
                  <c:v>20.52</c:v>
                </c:pt>
                <c:pt idx="1261">
                  <c:v>37.1</c:v>
                </c:pt>
                <c:pt idx="1262">
                  <c:v>28.05</c:v>
                </c:pt>
                <c:pt idx="1263">
                  <c:v>29.9</c:v>
                </c:pt>
                <c:pt idx="1264">
                  <c:v>33.344999999999999</c:v>
                </c:pt>
                <c:pt idx="1265">
                  <c:v>23.76</c:v>
                </c:pt>
                <c:pt idx="1266">
                  <c:v>30.5</c:v>
                </c:pt>
                <c:pt idx="1267">
                  <c:v>31.065000000000001</c:v>
                </c:pt>
                <c:pt idx="1268">
                  <c:v>33.299999999999997</c:v>
                </c:pt>
                <c:pt idx="1269">
                  <c:v>27.5</c:v>
                </c:pt>
                <c:pt idx="1270">
                  <c:v>33.914999999999999</c:v>
                </c:pt>
                <c:pt idx="1271">
                  <c:v>34.484999999999999</c:v>
                </c:pt>
                <c:pt idx="1272">
                  <c:v>25.52</c:v>
                </c:pt>
                <c:pt idx="1273">
                  <c:v>27.61</c:v>
                </c:pt>
                <c:pt idx="1274">
                  <c:v>27.06</c:v>
                </c:pt>
                <c:pt idx="1275">
                  <c:v>23.7</c:v>
                </c:pt>
                <c:pt idx="1276">
                  <c:v>30.4</c:v>
                </c:pt>
                <c:pt idx="1277">
                  <c:v>29.734999999999999</c:v>
                </c:pt>
                <c:pt idx="1278">
                  <c:v>29.925000000000001</c:v>
                </c:pt>
                <c:pt idx="1279">
                  <c:v>26.79</c:v>
                </c:pt>
                <c:pt idx="1280">
                  <c:v>33.33</c:v>
                </c:pt>
                <c:pt idx="1281">
                  <c:v>27.645</c:v>
                </c:pt>
                <c:pt idx="1282">
                  <c:v>21.66</c:v>
                </c:pt>
                <c:pt idx="1283">
                  <c:v>30.03</c:v>
                </c:pt>
                <c:pt idx="1284">
                  <c:v>36.299999999999997</c:v>
                </c:pt>
                <c:pt idx="1285">
                  <c:v>24.32</c:v>
                </c:pt>
                <c:pt idx="1286">
                  <c:v>17.29</c:v>
                </c:pt>
                <c:pt idx="1287">
                  <c:v>25.9</c:v>
                </c:pt>
                <c:pt idx="1288">
                  <c:v>39.4</c:v>
                </c:pt>
                <c:pt idx="1289">
                  <c:v>34.32</c:v>
                </c:pt>
                <c:pt idx="1290">
                  <c:v>19.95</c:v>
                </c:pt>
                <c:pt idx="1291">
                  <c:v>34.9</c:v>
                </c:pt>
                <c:pt idx="1292">
                  <c:v>23.21</c:v>
                </c:pt>
                <c:pt idx="1293">
                  <c:v>25.745000000000001</c:v>
                </c:pt>
                <c:pt idx="1294">
                  <c:v>25.175000000000001</c:v>
                </c:pt>
                <c:pt idx="1295">
                  <c:v>22</c:v>
                </c:pt>
                <c:pt idx="1296">
                  <c:v>26.125</c:v>
                </c:pt>
                <c:pt idx="1297">
                  <c:v>26.51</c:v>
                </c:pt>
                <c:pt idx="1298">
                  <c:v>27.454999999999998</c:v>
                </c:pt>
                <c:pt idx="1299">
                  <c:v>25.745000000000001</c:v>
                </c:pt>
                <c:pt idx="1300">
                  <c:v>30.36</c:v>
                </c:pt>
                <c:pt idx="1301">
                  <c:v>30.875</c:v>
                </c:pt>
                <c:pt idx="1302">
                  <c:v>20.8</c:v>
                </c:pt>
                <c:pt idx="1303">
                  <c:v>27.8</c:v>
                </c:pt>
                <c:pt idx="1304">
                  <c:v>24.605</c:v>
                </c:pt>
                <c:pt idx="1305">
                  <c:v>27.72</c:v>
                </c:pt>
                <c:pt idx="1306">
                  <c:v>21.85</c:v>
                </c:pt>
                <c:pt idx="1307">
                  <c:v>28.12</c:v>
                </c:pt>
                <c:pt idx="1308">
                  <c:v>30.2</c:v>
                </c:pt>
                <c:pt idx="1309">
                  <c:v>32.200000000000003</c:v>
                </c:pt>
                <c:pt idx="1310">
                  <c:v>26.315000000000001</c:v>
                </c:pt>
                <c:pt idx="1311">
                  <c:v>26.695</c:v>
                </c:pt>
                <c:pt idx="1312">
                  <c:v>42.9</c:v>
                </c:pt>
                <c:pt idx="1313">
                  <c:v>34.700000000000003</c:v>
                </c:pt>
                <c:pt idx="1314">
                  <c:v>23.655000000000001</c:v>
                </c:pt>
                <c:pt idx="1315">
                  <c:v>28.31</c:v>
                </c:pt>
                <c:pt idx="1316">
                  <c:v>20.6</c:v>
                </c:pt>
                <c:pt idx="1317">
                  <c:v>53.13</c:v>
                </c:pt>
                <c:pt idx="1318">
                  <c:v>39.71</c:v>
                </c:pt>
                <c:pt idx="1319">
                  <c:v>26.315000000000001</c:v>
                </c:pt>
                <c:pt idx="1320">
                  <c:v>31.065000000000001</c:v>
                </c:pt>
                <c:pt idx="1321">
                  <c:v>26.695</c:v>
                </c:pt>
                <c:pt idx="1322">
                  <c:v>38.83</c:v>
                </c:pt>
                <c:pt idx="1323">
                  <c:v>40.369999999999997</c:v>
                </c:pt>
                <c:pt idx="1324">
                  <c:v>25.934999999999999</c:v>
                </c:pt>
                <c:pt idx="1325">
                  <c:v>33.534999999999997</c:v>
                </c:pt>
                <c:pt idx="1326">
                  <c:v>32.869999999999997</c:v>
                </c:pt>
                <c:pt idx="1327">
                  <c:v>30.03</c:v>
                </c:pt>
                <c:pt idx="1328">
                  <c:v>24.225000000000001</c:v>
                </c:pt>
                <c:pt idx="1329">
                  <c:v>38.6</c:v>
                </c:pt>
                <c:pt idx="1330">
                  <c:v>25.74</c:v>
                </c:pt>
                <c:pt idx="1331">
                  <c:v>33.4</c:v>
                </c:pt>
                <c:pt idx="1332">
                  <c:v>44.7</c:v>
                </c:pt>
                <c:pt idx="1333">
                  <c:v>30.97</c:v>
                </c:pt>
                <c:pt idx="1334">
                  <c:v>31.92</c:v>
                </c:pt>
                <c:pt idx="1335">
                  <c:v>26.85</c:v>
                </c:pt>
                <c:pt idx="1336">
                  <c:v>25.8</c:v>
                </c:pt>
                <c:pt idx="1337">
                  <c:v>29.07</c:v>
                </c:pt>
              </c:numCache>
            </c:numRef>
          </c:xVal>
          <c:yVal>
            <c:numRef>
              <c:f>'insurance (4)0---'!$H$2:$H$1339</c:f>
              <c:numCache>
                <c:formatCode>General</c:formatCode>
                <c:ptCount val="1338"/>
                <c:pt idx="0">
                  <c:v>16884.923999999999</c:v>
                </c:pt>
                <c:pt idx="1">
                  <c:v>1725.5523000000001</c:v>
                </c:pt>
                <c:pt idx="2">
                  <c:v>4449.4620000000004</c:v>
                </c:pt>
                <c:pt idx="3">
                  <c:v>21984.47061</c:v>
                </c:pt>
                <c:pt idx="4">
                  <c:v>3866.8552</c:v>
                </c:pt>
                <c:pt idx="5">
                  <c:v>3756.6215999999999</c:v>
                </c:pt>
                <c:pt idx="6">
                  <c:v>8240.5895999999993</c:v>
                </c:pt>
                <c:pt idx="7">
                  <c:v>7281.5056000000004</c:v>
                </c:pt>
                <c:pt idx="8">
                  <c:v>6406.4107000000004</c:v>
                </c:pt>
                <c:pt idx="9">
                  <c:v>28923.136920000001</c:v>
                </c:pt>
                <c:pt idx="10">
                  <c:v>2721.3208</c:v>
                </c:pt>
                <c:pt idx="11">
                  <c:v>27808.7251</c:v>
                </c:pt>
                <c:pt idx="12">
                  <c:v>1826.8430000000001</c:v>
                </c:pt>
                <c:pt idx="13">
                  <c:v>11090.7178</c:v>
                </c:pt>
                <c:pt idx="14">
                  <c:v>39611.757700000002</c:v>
                </c:pt>
                <c:pt idx="15">
                  <c:v>1837.2370000000001</c:v>
                </c:pt>
                <c:pt idx="16">
                  <c:v>10797.3362</c:v>
                </c:pt>
                <c:pt idx="17">
                  <c:v>2395.17155</c:v>
                </c:pt>
                <c:pt idx="18">
                  <c:v>10602.385</c:v>
                </c:pt>
                <c:pt idx="19">
                  <c:v>36837.466999999997</c:v>
                </c:pt>
                <c:pt idx="20">
                  <c:v>13228.846949999999</c:v>
                </c:pt>
                <c:pt idx="21">
                  <c:v>4149.7359999999999</c:v>
                </c:pt>
                <c:pt idx="22">
                  <c:v>1137.011</c:v>
                </c:pt>
                <c:pt idx="23">
                  <c:v>37701.876799999998</c:v>
                </c:pt>
                <c:pt idx="24">
                  <c:v>6203.90175</c:v>
                </c:pt>
                <c:pt idx="25">
                  <c:v>14001.1338</c:v>
                </c:pt>
                <c:pt idx="26">
                  <c:v>14451.835150000001</c:v>
                </c:pt>
                <c:pt idx="27">
                  <c:v>12268.632250000001</c:v>
                </c:pt>
                <c:pt idx="28">
                  <c:v>2775.1921499999999</c:v>
                </c:pt>
                <c:pt idx="29">
                  <c:v>38711</c:v>
                </c:pt>
                <c:pt idx="30">
                  <c:v>35585.576000000001</c:v>
                </c:pt>
                <c:pt idx="31">
                  <c:v>2198.1898500000002</c:v>
                </c:pt>
                <c:pt idx="32">
                  <c:v>4687.7969999999996</c:v>
                </c:pt>
                <c:pt idx="33">
                  <c:v>13770.097900000001</c:v>
                </c:pt>
                <c:pt idx="34">
                  <c:v>51194.559139999998</c:v>
                </c:pt>
                <c:pt idx="35">
                  <c:v>1625.4337499999999</c:v>
                </c:pt>
                <c:pt idx="36">
                  <c:v>15612.19335</c:v>
                </c:pt>
                <c:pt idx="37">
                  <c:v>2302.3000000000002</c:v>
                </c:pt>
                <c:pt idx="38">
                  <c:v>39774.276299999998</c:v>
                </c:pt>
                <c:pt idx="39">
                  <c:v>48173.360999999997</c:v>
                </c:pt>
                <c:pt idx="40">
                  <c:v>3046.0619999999999</c:v>
                </c:pt>
                <c:pt idx="41">
                  <c:v>4949.7587000000003</c:v>
                </c:pt>
                <c:pt idx="42">
                  <c:v>6272.4772000000003</c:v>
                </c:pt>
                <c:pt idx="43">
                  <c:v>6313.759</c:v>
                </c:pt>
                <c:pt idx="44">
                  <c:v>6079.6715000000004</c:v>
                </c:pt>
                <c:pt idx="45">
                  <c:v>20630.283510000001</c:v>
                </c:pt>
                <c:pt idx="46">
                  <c:v>3393.35635</c:v>
                </c:pt>
                <c:pt idx="47">
                  <c:v>3556.9223000000002</c:v>
                </c:pt>
                <c:pt idx="48">
                  <c:v>12629.896699999999</c:v>
                </c:pt>
                <c:pt idx="49">
                  <c:v>38709.175999999999</c:v>
                </c:pt>
                <c:pt idx="50">
                  <c:v>2211.1307499999998</c:v>
                </c:pt>
                <c:pt idx="51">
                  <c:v>3579.8287</c:v>
                </c:pt>
                <c:pt idx="52">
                  <c:v>23568.272000000001</c:v>
                </c:pt>
                <c:pt idx="53">
                  <c:v>37742.575700000001</c:v>
                </c:pt>
                <c:pt idx="54">
                  <c:v>8059.6791000000003</c:v>
                </c:pt>
                <c:pt idx="55">
                  <c:v>47496.494449999998</c:v>
                </c:pt>
                <c:pt idx="56">
                  <c:v>13607.36875</c:v>
                </c:pt>
                <c:pt idx="57">
                  <c:v>34303.167200000004</c:v>
                </c:pt>
                <c:pt idx="58">
                  <c:v>23244.790199999999</c:v>
                </c:pt>
                <c:pt idx="59">
                  <c:v>5989.5236500000001</c:v>
                </c:pt>
                <c:pt idx="60">
                  <c:v>8606.2173999999995</c:v>
                </c:pt>
                <c:pt idx="61">
                  <c:v>4504.6624000000002</c:v>
                </c:pt>
                <c:pt idx="62">
                  <c:v>30166.618170000002</c:v>
                </c:pt>
                <c:pt idx="63">
                  <c:v>4133.6416499999996</c:v>
                </c:pt>
                <c:pt idx="64">
                  <c:v>14711.7438</c:v>
                </c:pt>
                <c:pt idx="65">
                  <c:v>1743.2139999999999</c:v>
                </c:pt>
                <c:pt idx="66">
                  <c:v>14235.072</c:v>
                </c:pt>
                <c:pt idx="67">
                  <c:v>6389.3778499999999</c:v>
                </c:pt>
                <c:pt idx="68">
                  <c:v>5920.1040999999996</c:v>
                </c:pt>
                <c:pt idx="69">
                  <c:v>17663.144199999999</c:v>
                </c:pt>
                <c:pt idx="70">
                  <c:v>16577.779500000001</c:v>
                </c:pt>
                <c:pt idx="71">
                  <c:v>6799.4579999999996</c:v>
                </c:pt>
                <c:pt idx="72">
                  <c:v>11741.726000000001</c:v>
                </c:pt>
                <c:pt idx="73">
                  <c:v>11946.625899999999</c:v>
                </c:pt>
                <c:pt idx="74">
                  <c:v>7726.8540000000003</c:v>
                </c:pt>
                <c:pt idx="75">
                  <c:v>11356.660900000001</c:v>
                </c:pt>
                <c:pt idx="76">
                  <c:v>3947.4131000000002</c:v>
                </c:pt>
                <c:pt idx="77">
                  <c:v>1532.4697000000001</c:v>
                </c:pt>
                <c:pt idx="78">
                  <c:v>2755.0209500000001</c:v>
                </c:pt>
                <c:pt idx="79">
                  <c:v>6571.0243499999997</c:v>
                </c:pt>
                <c:pt idx="80">
                  <c:v>4441.2131499999996</c:v>
                </c:pt>
                <c:pt idx="81">
                  <c:v>7935.29115</c:v>
                </c:pt>
                <c:pt idx="82">
                  <c:v>37165.163800000002</c:v>
                </c:pt>
                <c:pt idx="83">
                  <c:v>11033.661700000001</c:v>
                </c:pt>
                <c:pt idx="84">
                  <c:v>39836.519</c:v>
                </c:pt>
                <c:pt idx="85">
                  <c:v>21098.554049999999</c:v>
                </c:pt>
                <c:pt idx="86">
                  <c:v>43578.939400000003</c:v>
                </c:pt>
                <c:pt idx="87">
                  <c:v>11073.175999999999</c:v>
                </c:pt>
                <c:pt idx="88">
                  <c:v>8026.6665999999996</c:v>
                </c:pt>
                <c:pt idx="89">
                  <c:v>11082.5772</c:v>
                </c:pt>
                <c:pt idx="90">
                  <c:v>2026.9740999999999</c:v>
                </c:pt>
                <c:pt idx="91">
                  <c:v>10942.13205</c:v>
                </c:pt>
                <c:pt idx="92">
                  <c:v>30184.936699999998</c:v>
                </c:pt>
                <c:pt idx="93">
                  <c:v>5729.0052999999998</c:v>
                </c:pt>
                <c:pt idx="94">
                  <c:v>47291.055</c:v>
                </c:pt>
                <c:pt idx="95">
                  <c:v>3766.8838000000001</c:v>
                </c:pt>
                <c:pt idx="96">
                  <c:v>12105.32</c:v>
                </c:pt>
                <c:pt idx="97">
                  <c:v>10226.2842</c:v>
                </c:pt>
                <c:pt idx="98">
                  <c:v>22412.648499999999</c:v>
                </c:pt>
                <c:pt idx="99">
                  <c:v>15820.699000000001</c:v>
                </c:pt>
                <c:pt idx="100">
                  <c:v>6186.1270000000004</c:v>
                </c:pt>
                <c:pt idx="101">
                  <c:v>3645.0893999999998</c:v>
                </c:pt>
                <c:pt idx="102">
                  <c:v>21344.846699999998</c:v>
                </c:pt>
                <c:pt idx="103">
                  <c:v>30942.191800000001</c:v>
                </c:pt>
                <c:pt idx="104">
                  <c:v>5003.8530000000001</c:v>
                </c:pt>
                <c:pt idx="105">
                  <c:v>17560.37975</c:v>
                </c:pt>
                <c:pt idx="106">
                  <c:v>2331.5189999999998</c:v>
                </c:pt>
                <c:pt idx="107">
                  <c:v>3877.3042500000001</c:v>
                </c:pt>
                <c:pt idx="108">
                  <c:v>2867.1196</c:v>
                </c:pt>
                <c:pt idx="109">
                  <c:v>47055.532099999997</c:v>
                </c:pt>
                <c:pt idx="110">
                  <c:v>10825.253699999999</c:v>
                </c:pt>
                <c:pt idx="111">
                  <c:v>11881.358</c:v>
                </c:pt>
                <c:pt idx="112">
                  <c:v>4646.759</c:v>
                </c:pt>
                <c:pt idx="113">
                  <c:v>2404.7338</c:v>
                </c:pt>
                <c:pt idx="114">
                  <c:v>11488.31695</c:v>
                </c:pt>
                <c:pt idx="115">
                  <c:v>30259.995559999999</c:v>
                </c:pt>
                <c:pt idx="116">
                  <c:v>11381.3254</c:v>
                </c:pt>
                <c:pt idx="117">
                  <c:v>19107.779600000002</c:v>
                </c:pt>
                <c:pt idx="118">
                  <c:v>8601.3292999999994</c:v>
                </c:pt>
                <c:pt idx="119">
                  <c:v>6686.4313000000002</c:v>
                </c:pt>
                <c:pt idx="120">
                  <c:v>7740.3370000000004</c:v>
                </c:pt>
                <c:pt idx="121">
                  <c:v>1705.6244999999999</c:v>
                </c:pt>
                <c:pt idx="122">
                  <c:v>2257.47525</c:v>
                </c:pt>
                <c:pt idx="123">
                  <c:v>39556.494500000001</c:v>
                </c:pt>
                <c:pt idx="124">
                  <c:v>10115.00885</c:v>
                </c:pt>
                <c:pt idx="125">
                  <c:v>3385.3991500000002</c:v>
                </c:pt>
                <c:pt idx="126">
                  <c:v>17081.080000000002</c:v>
                </c:pt>
                <c:pt idx="127">
                  <c:v>9634.5380000000005</c:v>
                </c:pt>
                <c:pt idx="128">
                  <c:v>32734.186300000001</c:v>
                </c:pt>
                <c:pt idx="129">
                  <c:v>6082.4049999999997</c:v>
                </c:pt>
                <c:pt idx="130">
                  <c:v>12815.444949999999</c:v>
                </c:pt>
                <c:pt idx="131">
                  <c:v>13616.3586</c:v>
                </c:pt>
                <c:pt idx="132">
                  <c:v>11163.567999999999</c:v>
                </c:pt>
                <c:pt idx="133">
                  <c:v>1632.5644500000001</c:v>
                </c:pt>
                <c:pt idx="134">
                  <c:v>2457.2111500000001</c:v>
                </c:pt>
                <c:pt idx="135">
                  <c:v>2155.6815000000001</c:v>
                </c:pt>
                <c:pt idx="136">
                  <c:v>1261.442</c:v>
                </c:pt>
                <c:pt idx="137">
                  <c:v>2045.68525</c:v>
                </c:pt>
                <c:pt idx="138">
                  <c:v>27322.73386</c:v>
                </c:pt>
                <c:pt idx="139">
                  <c:v>2166.732</c:v>
                </c:pt>
                <c:pt idx="140">
                  <c:v>27375.904780000001</c:v>
                </c:pt>
                <c:pt idx="141">
                  <c:v>3490.5491000000002</c:v>
                </c:pt>
                <c:pt idx="142">
                  <c:v>18972.494999999999</c:v>
                </c:pt>
                <c:pt idx="143">
                  <c:v>18157.876</c:v>
                </c:pt>
                <c:pt idx="144">
                  <c:v>20745.989099999999</c:v>
                </c:pt>
                <c:pt idx="145">
                  <c:v>5138.2566999999999</c:v>
                </c:pt>
                <c:pt idx="146">
                  <c:v>40720.551050000002</c:v>
                </c:pt>
                <c:pt idx="147">
                  <c:v>9877.6077000000005</c:v>
                </c:pt>
                <c:pt idx="148">
                  <c:v>10959.6947</c:v>
                </c:pt>
                <c:pt idx="149">
                  <c:v>1842.519</c:v>
                </c:pt>
                <c:pt idx="150">
                  <c:v>5125.2156999999997</c:v>
                </c:pt>
                <c:pt idx="151">
                  <c:v>7789.6350000000002</c:v>
                </c:pt>
                <c:pt idx="152">
                  <c:v>6334.3435499999996</c:v>
                </c:pt>
                <c:pt idx="153">
                  <c:v>19964.746299999999</c:v>
                </c:pt>
                <c:pt idx="154">
                  <c:v>7077.1894000000002</c:v>
                </c:pt>
                <c:pt idx="155">
                  <c:v>6948.7007999999996</c:v>
                </c:pt>
                <c:pt idx="156">
                  <c:v>21223.675800000001</c:v>
                </c:pt>
                <c:pt idx="157">
                  <c:v>15518.180249999999</c:v>
                </c:pt>
                <c:pt idx="158">
                  <c:v>36950.256699999998</c:v>
                </c:pt>
                <c:pt idx="159">
                  <c:v>19749.383379999999</c:v>
                </c:pt>
                <c:pt idx="160">
                  <c:v>21348.705999999998</c:v>
                </c:pt>
                <c:pt idx="161">
                  <c:v>36149.483500000002</c:v>
                </c:pt>
                <c:pt idx="162">
                  <c:v>10450.552</c:v>
                </c:pt>
                <c:pt idx="163">
                  <c:v>5152.134</c:v>
                </c:pt>
                <c:pt idx="164">
                  <c:v>5028.1466</c:v>
                </c:pt>
                <c:pt idx="165">
                  <c:v>10407.085849999999</c:v>
                </c:pt>
                <c:pt idx="166">
                  <c:v>4830.63</c:v>
                </c:pt>
                <c:pt idx="167">
                  <c:v>6128.79745</c:v>
                </c:pt>
                <c:pt idx="168">
                  <c:v>2719.2797500000001</c:v>
                </c:pt>
                <c:pt idx="169">
                  <c:v>4827.9049500000001</c:v>
                </c:pt>
                <c:pt idx="170">
                  <c:v>13405.390299999999</c:v>
                </c:pt>
                <c:pt idx="171">
                  <c:v>8116.68</c:v>
                </c:pt>
                <c:pt idx="172">
                  <c:v>1694.7963999999999</c:v>
                </c:pt>
                <c:pt idx="173">
                  <c:v>5246.0469999999996</c:v>
                </c:pt>
                <c:pt idx="174">
                  <c:v>2855.4375500000001</c:v>
                </c:pt>
                <c:pt idx="175">
                  <c:v>48824.45</c:v>
                </c:pt>
                <c:pt idx="176">
                  <c:v>6455.86265</c:v>
                </c:pt>
                <c:pt idx="177">
                  <c:v>10436.096</c:v>
                </c:pt>
                <c:pt idx="178">
                  <c:v>8823.2790000000005</c:v>
                </c:pt>
                <c:pt idx="179">
                  <c:v>8538.28845</c:v>
                </c:pt>
                <c:pt idx="180">
                  <c:v>11735.87905</c:v>
                </c:pt>
                <c:pt idx="181">
                  <c:v>1631.8212000000001</c:v>
                </c:pt>
                <c:pt idx="182">
                  <c:v>4005.4225000000001</c:v>
                </c:pt>
                <c:pt idx="183">
                  <c:v>7419.4778999999999</c:v>
                </c:pt>
                <c:pt idx="184">
                  <c:v>7731.4270999999999</c:v>
                </c:pt>
                <c:pt idx="185">
                  <c:v>43753.337050000002</c:v>
                </c:pt>
                <c:pt idx="186">
                  <c:v>3981.9767999999999</c:v>
                </c:pt>
                <c:pt idx="187">
                  <c:v>5325.6509999999998</c:v>
                </c:pt>
                <c:pt idx="188">
                  <c:v>6775.9610000000002</c:v>
                </c:pt>
                <c:pt idx="189">
                  <c:v>4922.9159</c:v>
                </c:pt>
                <c:pt idx="190">
                  <c:v>12557.605299999999</c:v>
                </c:pt>
                <c:pt idx="191">
                  <c:v>4883.866</c:v>
                </c:pt>
                <c:pt idx="192">
                  <c:v>2137.6536000000001</c:v>
                </c:pt>
                <c:pt idx="193">
                  <c:v>12044.342000000001</c:v>
                </c:pt>
                <c:pt idx="194">
                  <c:v>1137.4697000000001</c:v>
                </c:pt>
                <c:pt idx="195">
                  <c:v>1639.5631000000001</c:v>
                </c:pt>
                <c:pt idx="196">
                  <c:v>5649.7150000000001</c:v>
                </c:pt>
                <c:pt idx="197">
                  <c:v>8516.8289999999997</c:v>
                </c:pt>
                <c:pt idx="198">
                  <c:v>9644.2525000000005</c:v>
                </c:pt>
                <c:pt idx="199">
                  <c:v>14901.5167</c:v>
                </c:pt>
                <c:pt idx="200">
                  <c:v>2130.6759000000002</c:v>
                </c:pt>
                <c:pt idx="201">
                  <c:v>8871.1517000000003</c:v>
                </c:pt>
                <c:pt idx="202">
                  <c:v>13012.20865</c:v>
                </c:pt>
                <c:pt idx="203">
                  <c:v>37133.898200000003</c:v>
                </c:pt>
                <c:pt idx="204">
                  <c:v>7147.1049999999996</c:v>
                </c:pt>
                <c:pt idx="205">
                  <c:v>4337.7352000000001</c:v>
                </c:pt>
                <c:pt idx="206">
                  <c:v>11743.299000000001</c:v>
                </c:pt>
                <c:pt idx="207">
                  <c:v>20984.0936</c:v>
                </c:pt>
                <c:pt idx="208">
                  <c:v>13880.949000000001</c:v>
                </c:pt>
                <c:pt idx="209">
                  <c:v>6610.1097</c:v>
                </c:pt>
                <c:pt idx="210">
                  <c:v>1980.07</c:v>
                </c:pt>
                <c:pt idx="211">
                  <c:v>8162.7162500000004</c:v>
                </c:pt>
                <c:pt idx="212">
                  <c:v>3537.703</c:v>
                </c:pt>
                <c:pt idx="213">
                  <c:v>5002.7826999999997</c:v>
                </c:pt>
                <c:pt idx="214">
                  <c:v>8520.0259999999998</c:v>
                </c:pt>
                <c:pt idx="215">
                  <c:v>7371.7719999999999</c:v>
                </c:pt>
                <c:pt idx="216">
                  <c:v>10355.641</c:v>
                </c:pt>
                <c:pt idx="217">
                  <c:v>2483.7359999999999</c:v>
                </c:pt>
                <c:pt idx="218">
                  <c:v>3392.9767999999999</c:v>
                </c:pt>
                <c:pt idx="219">
                  <c:v>25081.76784</c:v>
                </c:pt>
                <c:pt idx="220">
                  <c:v>5012.4709999999995</c:v>
                </c:pt>
                <c:pt idx="221">
                  <c:v>10564.8845</c:v>
                </c:pt>
                <c:pt idx="222">
                  <c:v>5253.5240000000003</c:v>
                </c:pt>
                <c:pt idx="223">
                  <c:v>34779.614999999998</c:v>
                </c:pt>
                <c:pt idx="224">
                  <c:v>19515.5416</c:v>
                </c:pt>
                <c:pt idx="225">
                  <c:v>11987.1682</c:v>
                </c:pt>
                <c:pt idx="226">
                  <c:v>2689.4953999999998</c:v>
                </c:pt>
                <c:pt idx="227">
                  <c:v>24227.337240000001</c:v>
                </c:pt>
                <c:pt idx="228">
                  <c:v>7358.1756500000001</c:v>
                </c:pt>
                <c:pt idx="229">
                  <c:v>9225.2564000000002</c:v>
                </c:pt>
                <c:pt idx="230">
                  <c:v>7443.6430499999997</c:v>
                </c:pt>
                <c:pt idx="231">
                  <c:v>14001.286700000001</c:v>
                </c:pt>
                <c:pt idx="232">
                  <c:v>1727.7850000000001</c:v>
                </c:pt>
                <c:pt idx="233">
                  <c:v>12333.828</c:v>
                </c:pt>
                <c:pt idx="234">
                  <c:v>6710.1918999999998</c:v>
                </c:pt>
                <c:pt idx="235">
                  <c:v>19444.265800000001</c:v>
                </c:pt>
                <c:pt idx="236">
                  <c:v>1615.7666999999999</c:v>
                </c:pt>
                <c:pt idx="237">
                  <c:v>4463.2051000000001</c:v>
                </c:pt>
                <c:pt idx="238">
                  <c:v>17352.6803</c:v>
                </c:pt>
                <c:pt idx="239">
                  <c:v>7152.6714000000002</c:v>
                </c:pt>
                <c:pt idx="240">
                  <c:v>38511.628299999997</c:v>
                </c:pt>
                <c:pt idx="241">
                  <c:v>5354.0746499999996</c:v>
                </c:pt>
                <c:pt idx="242">
                  <c:v>35160.134570000002</c:v>
                </c:pt>
                <c:pt idx="243">
                  <c:v>7196.8670000000002</c:v>
                </c:pt>
                <c:pt idx="244">
                  <c:v>29523.1656</c:v>
                </c:pt>
                <c:pt idx="245">
                  <c:v>24476.478510000001</c:v>
                </c:pt>
                <c:pt idx="246">
                  <c:v>12648.7034</c:v>
                </c:pt>
                <c:pt idx="247">
                  <c:v>1986.9333999999999</c:v>
                </c:pt>
                <c:pt idx="248">
                  <c:v>1832.0940000000001</c:v>
                </c:pt>
                <c:pt idx="249">
                  <c:v>4040.55825</c:v>
                </c:pt>
                <c:pt idx="250">
                  <c:v>12829.455099999999</c:v>
                </c:pt>
                <c:pt idx="251">
                  <c:v>47305.305</c:v>
                </c:pt>
                <c:pt idx="252">
                  <c:v>44260.749900000003</c:v>
                </c:pt>
                <c:pt idx="253">
                  <c:v>4260.7439999999997</c:v>
                </c:pt>
                <c:pt idx="254">
                  <c:v>41097.161749999999</c:v>
                </c:pt>
                <c:pt idx="255">
                  <c:v>13047.332350000001</c:v>
                </c:pt>
                <c:pt idx="256">
                  <c:v>43921.183700000001</c:v>
                </c:pt>
                <c:pt idx="257">
                  <c:v>5400.9804999999997</c:v>
                </c:pt>
                <c:pt idx="258">
                  <c:v>11520.099850000001</c:v>
                </c:pt>
                <c:pt idx="259">
                  <c:v>33750.291799999999</c:v>
                </c:pt>
                <c:pt idx="260">
                  <c:v>11837.16</c:v>
                </c:pt>
                <c:pt idx="261">
                  <c:v>17085.267599999999</c:v>
                </c:pt>
                <c:pt idx="262">
                  <c:v>24869.836800000001</c:v>
                </c:pt>
                <c:pt idx="263">
                  <c:v>36219.405449999998</c:v>
                </c:pt>
                <c:pt idx="264">
                  <c:v>20462.997660000001</c:v>
                </c:pt>
                <c:pt idx="265">
                  <c:v>46151.124499999998</c:v>
                </c:pt>
                <c:pt idx="266">
                  <c:v>17179.522000000001</c:v>
                </c:pt>
                <c:pt idx="267">
                  <c:v>14590.63205</c:v>
                </c:pt>
                <c:pt idx="268">
                  <c:v>7441.0529999999999</c:v>
                </c:pt>
                <c:pt idx="269">
                  <c:v>9282.4806000000008</c:v>
                </c:pt>
                <c:pt idx="270">
                  <c:v>1719.4363000000001</c:v>
                </c:pt>
                <c:pt idx="271">
                  <c:v>42856.838000000003</c:v>
                </c:pt>
                <c:pt idx="272">
                  <c:v>7265.7025000000003</c:v>
                </c:pt>
                <c:pt idx="273">
                  <c:v>9617.6624499999998</c:v>
                </c:pt>
                <c:pt idx="274">
                  <c:v>2523.1695</c:v>
                </c:pt>
                <c:pt idx="275">
                  <c:v>9715.8410000000003</c:v>
                </c:pt>
                <c:pt idx="276">
                  <c:v>2803.69785</c:v>
                </c:pt>
                <c:pt idx="277">
                  <c:v>2150.4690000000001</c:v>
                </c:pt>
                <c:pt idx="278">
                  <c:v>12928.7911</c:v>
                </c:pt>
                <c:pt idx="279">
                  <c:v>9855.1314000000002</c:v>
                </c:pt>
                <c:pt idx="280">
                  <c:v>22331.566800000001</c:v>
                </c:pt>
                <c:pt idx="281">
                  <c:v>48549.178350000002</c:v>
                </c:pt>
                <c:pt idx="282">
                  <c:v>4237.12655</c:v>
                </c:pt>
                <c:pt idx="283">
                  <c:v>11879.10405</c:v>
                </c:pt>
                <c:pt idx="284">
                  <c:v>9625.92</c:v>
                </c:pt>
                <c:pt idx="285">
                  <c:v>7742.1098000000002</c:v>
                </c:pt>
                <c:pt idx="286">
                  <c:v>9432.9253000000008</c:v>
                </c:pt>
                <c:pt idx="287">
                  <c:v>14256.192800000001</c:v>
                </c:pt>
                <c:pt idx="288">
                  <c:v>47896.79135</c:v>
                </c:pt>
                <c:pt idx="289">
                  <c:v>25992.821039999999</c:v>
                </c:pt>
                <c:pt idx="290">
                  <c:v>3172.018</c:v>
                </c:pt>
                <c:pt idx="291">
                  <c:v>20277.807509999999</c:v>
                </c:pt>
                <c:pt idx="292">
                  <c:v>42112.2356</c:v>
                </c:pt>
                <c:pt idx="293">
                  <c:v>2156.7518</c:v>
                </c:pt>
                <c:pt idx="294">
                  <c:v>3906.127</c:v>
                </c:pt>
                <c:pt idx="295">
                  <c:v>1704.5681</c:v>
                </c:pt>
                <c:pt idx="296">
                  <c:v>16297.846</c:v>
                </c:pt>
                <c:pt idx="297">
                  <c:v>21978.676899999999</c:v>
                </c:pt>
                <c:pt idx="298">
                  <c:v>38746.355100000001</c:v>
                </c:pt>
                <c:pt idx="299">
                  <c:v>9249.4951999999994</c:v>
                </c:pt>
                <c:pt idx="300">
                  <c:v>6746.7425000000003</c:v>
                </c:pt>
                <c:pt idx="301">
                  <c:v>24873.384900000001</c:v>
                </c:pt>
                <c:pt idx="302">
                  <c:v>12265.5069</c:v>
                </c:pt>
                <c:pt idx="303">
                  <c:v>4349.4620000000004</c:v>
                </c:pt>
                <c:pt idx="304">
                  <c:v>12646.207</c:v>
                </c:pt>
                <c:pt idx="305">
                  <c:v>19442.353500000001</c:v>
                </c:pt>
                <c:pt idx="306">
                  <c:v>20177.671129999999</c:v>
                </c:pt>
                <c:pt idx="307">
                  <c:v>4151.0286999999998</c:v>
                </c:pt>
                <c:pt idx="308">
                  <c:v>11944.594349999999</c:v>
                </c:pt>
                <c:pt idx="309">
                  <c:v>7749.1563999999998</c:v>
                </c:pt>
                <c:pt idx="310">
                  <c:v>8444.4740000000002</c:v>
                </c:pt>
                <c:pt idx="311">
                  <c:v>1737.376</c:v>
                </c:pt>
                <c:pt idx="312">
                  <c:v>42124.515299999999</c:v>
                </c:pt>
                <c:pt idx="313">
                  <c:v>8124.4084000000003</c:v>
                </c:pt>
                <c:pt idx="314">
                  <c:v>34838.873</c:v>
                </c:pt>
                <c:pt idx="315">
                  <c:v>9722.7695000000003</c:v>
                </c:pt>
                <c:pt idx="316">
                  <c:v>8835.2649500000007</c:v>
                </c:pt>
                <c:pt idx="317">
                  <c:v>10435.06525</c:v>
                </c:pt>
                <c:pt idx="318">
                  <c:v>7421.1945500000002</c:v>
                </c:pt>
                <c:pt idx="319">
                  <c:v>4667.6076499999999</c:v>
                </c:pt>
                <c:pt idx="320">
                  <c:v>4894.7533000000003</c:v>
                </c:pt>
                <c:pt idx="321">
                  <c:v>24671.663339999999</c:v>
                </c:pt>
                <c:pt idx="322">
                  <c:v>35491.64</c:v>
                </c:pt>
                <c:pt idx="323">
                  <c:v>11566.30055</c:v>
                </c:pt>
                <c:pt idx="324">
                  <c:v>2866.0909999999999</c:v>
                </c:pt>
                <c:pt idx="325">
                  <c:v>6600.2059499999996</c:v>
                </c:pt>
                <c:pt idx="326">
                  <c:v>3561.8888999999999</c:v>
                </c:pt>
                <c:pt idx="327">
                  <c:v>42760.502200000003</c:v>
                </c:pt>
                <c:pt idx="328">
                  <c:v>47928.03</c:v>
                </c:pt>
                <c:pt idx="329">
                  <c:v>9144.5650000000005</c:v>
                </c:pt>
                <c:pt idx="330">
                  <c:v>48517.563150000002</c:v>
                </c:pt>
                <c:pt idx="331">
                  <c:v>24393.6224</c:v>
                </c:pt>
                <c:pt idx="332">
                  <c:v>13429.035400000001</c:v>
                </c:pt>
                <c:pt idx="333">
                  <c:v>11658.379150000001</c:v>
                </c:pt>
                <c:pt idx="334">
                  <c:v>19144.576519999999</c:v>
                </c:pt>
                <c:pt idx="335">
                  <c:v>13822.803</c:v>
                </c:pt>
                <c:pt idx="336">
                  <c:v>12142.578600000001</c:v>
                </c:pt>
                <c:pt idx="337">
                  <c:v>13937.666499999999</c:v>
                </c:pt>
                <c:pt idx="338">
                  <c:v>41919.097000000002</c:v>
                </c:pt>
                <c:pt idx="339">
                  <c:v>8232.6388000000006</c:v>
                </c:pt>
                <c:pt idx="340">
                  <c:v>18955.220170000001</c:v>
                </c:pt>
                <c:pt idx="341">
                  <c:v>13352.0998</c:v>
                </c:pt>
                <c:pt idx="342">
                  <c:v>13217.094499999999</c:v>
                </c:pt>
                <c:pt idx="343">
                  <c:v>13981.850350000001</c:v>
                </c:pt>
                <c:pt idx="344">
                  <c:v>10977.2063</c:v>
                </c:pt>
                <c:pt idx="345">
                  <c:v>6184.2993999999999</c:v>
                </c:pt>
                <c:pt idx="346">
                  <c:v>4889.9994999999999</c:v>
                </c:pt>
                <c:pt idx="347">
                  <c:v>8334.4575499999992</c:v>
                </c:pt>
                <c:pt idx="348">
                  <c:v>5478.0367999999999</c:v>
                </c:pt>
                <c:pt idx="349">
                  <c:v>1635.7336499999999</c:v>
                </c:pt>
                <c:pt idx="350">
                  <c:v>11830.6072</c:v>
                </c:pt>
                <c:pt idx="351">
                  <c:v>8932.0840000000007</c:v>
                </c:pt>
                <c:pt idx="352">
                  <c:v>3554.203</c:v>
                </c:pt>
                <c:pt idx="353">
                  <c:v>12404.8791</c:v>
                </c:pt>
                <c:pt idx="354">
                  <c:v>14133.03775</c:v>
                </c:pt>
                <c:pt idx="355">
                  <c:v>24603.04837</c:v>
                </c:pt>
                <c:pt idx="356">
                  <c:v>8944.1151000000009</c:v>
                </c:pt>
                <c:pt idx="357">
                  <c:v>9620.3307000000004</c:v>
                </c:pt>
                <c:pt idx="358">
                  <c:v>1837.2819</c:v>
                </c:pt>
                <c:pt idx="359">
                  <c:v>1607.5101</c:v>
                </c:pt>
                <c:pt idx="360">
                  <c:v>10043.249</c:v>
                </c:pt>
                <c:pt idx="361">
                  <c:v>4751.07</c:v>
                </c:pt>
                <c:pt idx="362">
                  <c:v>13844.505999999999</c:v>
                </c:pt>
                <c:pt idx="363">
                  <c:v>2597.779</c:v>
                </c:pt>
                <c:pt idx="364">
                  <c:v>3180.5101</c:v>
                </c:pt>
                <c:pt idx="365">
                  <c:v>9778.3472000000002</c:v>
                </c:pt>
                <c:pt idx="366">
                  <c:v>13430.264999999999</c:v>
                </c:pt>
                <c:pt idx="367">
                  <c:v>8017.0611500000005</c:v>
                </c:pt>
                <c:pt idx="368">
                  <c:v>8116.2688500000004</c:v>
                </c:pt>
                <c:pt idx="369">
                  <c:v>3481.8679999999999</c:v>
                </c:pt>
                <c:pt idx="370">
                  <c:v>13415.0381</c:v>
                </c:pt>
                <c:pt idx="371">
                  <c:v>12029.286700000001</c:v>
                </c:pt>
                <c:pt idx="372">
                  <c:v>7639.4174499999999</c:v>
                </c:pt>
                <c:pt idx="373">
                  <c:v>36085.218999999997</c:v>
                </c:pt>
                <c:pt idx="374">
                  <c:v>1391.5287000000001</c:v>
                </c:pt>
                <c:pt idx="375">
                  <c:v>18033.9679</c:v>
                </c:pt>
                <c:pt idx="376">
                  <c:v>21659.930100000001</c:v>
                </c:pt>
                <c:pt idx="377">
                  <c:v>38126.246500000001</c:v>
                </c:pt>
                <c:pt idx="378">
                  <c:v>16455.707849999999</c:v>
                </c:pt>
                <c:pt idx="379">
                  <c:v>27000.98473</c:v>
                </c:pt>
                <c:pt idx="380">
                  <c:v>15006.579449999999</c:v>
                </c:pt>
                <c:pt idx="381">
                  <c:v>42303.692150000003</c:v>
                </c:pt>
                <c:pt idx="382">
                  <c:v>20781.48892</c:v>
                </c:pt>
                <c:pt idx="383">
                  <c:v>5846.9175999999998</c:v>
                </c:pt>
                <c:pt idx="384">
                  <c:v>8302.5356499999998</c:v>
                </c:pt>
                <c:pt idx="385">
                  <c:v>1261.8589999999999</c:v>
                </c:pt>
                <c:pt idx="386">
                  <c:v>11856.4115</c:v>
                </c:pt>
                <c:pt idx="387">
                  <c:v>30284.642940000002</c:v>
                </c:pt>
                <c:pt idx="388">
                  <c:v>3176.8159000000001</c:v>
                </c:pt>
                <c:pt idx="389">
                  <c:v>4618.0798999999997</c:v>
                </c:pt>
                <c:pt idx="390">
                  <c:v>10736.87075</c:v>
                </c:pt>
                <c:pt idx="391">
                  <c:v>2138.0707000000002</c:v>
                </c:pt>
                <c:pt idx="392">
                  <c:v>8964.0605500000001</c:v>
                </c:pt>
                <c:pt idx="393">
                  <c:v>9290.1394999999993</c:v>
                </c:pt>
                <c:pt idx="394">
                  <c:v>9411.0049999999992</c:v>
                </c:pt>
                <c:pt idx="395">
                  <c:v>7526.7064499999997</c:v>
                </c:pt>
                <c:pt idx="396">
                  <c:v>8522.0030000000006</c:v>
                </c:pt>
                <c:pt idx="397">
                  <c:v>16586.49771</c:v>
                </c:pt>
                <c:pt idx="398">
                  <c:v>14988.432000000001</c:v>
                </c:pt>
                <c:pt idx="399">
                  <c:v>1631.6683</c:v>
                </c:pt>
                <c:pt idx="400">
                  <c:v>9264.7970000000005</c:v>
                </c:pt>
                <c:pt idx="401">
                  <c:v>8083.9197999999997</c:v>
                </c:pt>
                <c:pt idx="402">
                  <c:v>14692.66935</c:v>
                </c:pt>
                <c:pt idx="403">
                  <c:v>10269.459999999999</c:v>
                </c:pt>
                <c:pt idx="404">
                  <c:v>3260.1990000000001</c:v>
                </c:pt>
                <c:pt idx="405">
                  <c:v>11396.9002</c:v>
                </c:pt>
                <c:pt idx="406">
                  <c:v>4185.0978999999998</c:v>
                </c:pt>
                <c:pt idx="407">
                  <c:v>8539.6710000000003</c:v>
                </c:pt>
                <c:pt idx="408">
                  <c:v>6652.5288</c:v>
                </c:pt>
                <c:pt idx="409">
                  <c:v>4074.4537</c:v>
                </c:pt>
                <c:pt idx="410">
                  <c:v>1621.3402000000001</c:v>
                </c:pt>
                <c:pt idx="411">
                  <c:v>19594.809649999999</c:v>
                </c:pt>
                <c:pt idx="412">
                  <c:v>14455.644050000001</c:v>
                </c:pt>
                <c:pt idx="413">
                  <c:v>5080.0959999999995</c:v>
                </c:pt>
                <c:pt idx="414">
                  <c:v>2134.9014999999999</c:v>
                </c:pt>
                <c:pt idx="415">
                  <c:v>7345.7266</c:v>
                </c:pt>
                <c:pt idx="416">
                  <c:v>9140.9509999999991</c:v>
                </c:pt>
                <c:pt idx="417">
                  <c:v>18608.261999999999</c:v>
                </c:pt>
                <c:pt idx="418">
                  <c:v>14418.2804</c:v>
                </c:pt>
                <c:pt idx="419">
                  <c:v>28950.4692</c:v>
                </c:pt>
                <c:pt idx="420">
                  <c:v>46889.261200000001</c:v>
                </c:pt>
                <c:pt idx="421">
                  <c:v>46599.108399999997</c:v>
                </c:pt>
                <c:pt idx="422">
                  <c:v>39125.332249999999</c:v>
                </c:pt>
                <c:pt idx="423">
                  <c:v>2727.3951000000002</c:v>
                </c:pt>
                <c:pt idx="424">
                  <c:v>8968.33</c:v>
                </c:pt>
                <c:pt idx="425">
                  <c:v>9788.8659000000007</c:v>
                </c:pt>
                <c:pt idx="426">
                  <c:v>6555.07035</c:v>
                </c:pt>
                <c:pt idx="427">
                  <c:v>7323.7348190000002</c:v>
                </c:pt>
                <c:pt idx="428">
                  <c:v>3167.4558499999998</c:v>
                </c:pt>
                <c:pt idx="429">
                  <c:v>18804.752400000001</c:v>
                </c:pt>
                <c:pt idx="430">
                  <c:v>23082.955330000001</c:v>
                </c:pt>
                <c:pt idx="431">
                  <c:v>4906.4096499999996</c:v>
                </c:pt>
                <c:pt idx="432">
                  <c:v>5969.723</c:v>
                </c:pt>
                <c:pt idx="433">
                  <c:v>12638.195</c:v>
                </c:pt>
                <c:pt idx="434">
                  <c:v>4243.5900499999998</c:v>
                </c:pt>
                <c:pt idx="435">
                  <c:v>13919.822899999999</c:v>
                </c:pt>
                <c:pt idx="436">
                  <c:v>2254.7966999999999</c:v>
                </c:pt>
                <c:pt idx="437">
                  <c:v>5926.8459999999995</c:v>
                </c:pt>
                <c:pt idx="438">
                  <c:v>12592.5345</c:v>
                </c:pt>
                <c:pt idx="439">
                  <c:v>2897.3235</c:v>
                </c:pt>
                <c:pt idx="440">
                  <c:v>4738.2682000000004</c:v>
                </c:pt>
                <c:pt idx="441">
                  <c:v>37079.372000000003</c:v>
                </c:pt>
                <c:pt idx="442">
                  <c:v>1149.3959</c:v>
                </c:pt>
                <c:pt idx="443">
                  <c:v>28287.897659999999</c:v>
                </c:pt>
                <c:pt idx="444">
                  <c:v>26109.32905</c:v>
                </c:pt>
                <c:pt idx="445">
                  <c:v>7345.0839999999998</c:v>
                </c:pt>
                <c:pt idx="446">
                  <c:v>12730.999599999999</c:v>
                </c:pt>
                <c:pt idx="447">
                  <c:v>11454.021500000001</c:v>
                </c:pt>
                <c:pt idx="448">
                  <c:v>5910.9440000000004</c:v>
                </c:pt>
                <c:pt idx="449">
                  <c:v>4762.3289999999997</c:v>
                </c:pt>
                <c:pt idx="450">
                  <c:v>7512.2669999999998</c:v>
                </c:pt>
                <c:pt idx="451">
                  <c:v>4032.2406999999998</c:v>
                </c:pt>
                <c:pt idx="452">
                  <c:v>1969.614</c:v>
                </c:pt>
                <c:pt idx="453">
                  <c:v>1769.5316499999999</c:v>
                </c:pt>
                <c:pt idx="454">
                  <c:v>4686.3887000000004</c:v>
                </c:pt>
                <c:pt idx="455">
                  <c:v>21797.000400000001</c:v>
                </c:pt>
                <c:pt idx="456">
                  <c:v>11881.9696</c:v>
                </c:pt>
                <c:pt idx="457">
                  <c:v>11840.77505</c:v>
                </c:pt>
                <c:pt idx="458">
                  <c:v>10601.412</c:v>
                </c:pt>
                <c:pt idx="459">
                  <c:v>7682.67</c:v>
                </c:pt>
                <c:pt idx="460">
                  <c:v>10381.4787</c:v>
                </c:pt>
                <c:pt idx="461">
                  <c:v>22144.031999999999</c:v>
                </c:pt>
                <c:pt idx="462">
                  <c:v>15230.324049999999</c:v>
                </c:pt>
                <c:pt idx="463">
                  <c:v>11165.417649999999</c:v>
                </c:pt>
                <c:pt idx="464">
                  <c:v>1632.0362500000001</c:v>
                </c:pt>
                <c:pt idx="465">
                  <c:v>19521.968199999999</c:v>
                </c:pt>
                <c:pt idx="466">
                  <c:v>13224.692999999999</c:v>
                </c:pt>
                <c:pt idx="467">
                  <c:v>12643.3778</c:v>
                </c:pt>
                <c:pt idx="468">
                  <c:v>23288.928400000001</c:v>
                </c:pt>
                <c:pt idx="469">
                  <c:v>2201.0971</c:v>
                </c:pt>
                <c:pt idx="470">
                  <c:v>2497.0383000000002</c:v>
                </c:pt>
                <c:pt idx="471">
                  <c:v>2203.4718499999999</c:v>
                </c:pt>
                <c:pt idx="472">
                  <c:v>1744.4649999999999</c:v>
                </c:pt>
                <c:pt idx="473">
                  <c:v>20878.78443</c:v>
                </c:pt>
                <c:pt idx="474">
                  <c:v>25382.296999999999</c:v>
                </c:pt>
                <c:pt idx="475">
                  <c:v>28868.6639</c:v>
                </c:pt>
                <c:pt idx="476">
                  <c:v>35147.528480000001</c:v>
                </c:pt>
                <c:pt idx="477">
                  <c:v>2534.3937500000002</c:v>
                </c:pt>
                <c:pt idx="478">
                  <c:v>1534.3045</c:v>
                </c:pt>
                <c:pt idx="479">
                  <c:v>1824.2854</c:v>
                </c:pt>
                <c:pt idx="480">
                  <c:v>15555.188749999999</c:v>
                </c:pt>
                <c:pt idx="481">
                  <c:v>9304.7019</c:v>
                </c:pt>
                <c:pt idx="482">
                  <c:v>1622.1885</c:v>
                </c:pt>
                <c:pt idx="483">
                  <c:v>9880.0679999999993</c:v>
                </c:pt>
                <c:pt idx="484">
                  <c:v>9563.0290000000005</c:v>
                </c:pt>
                <c:pt idx="485">
                  <c:v>4347.0233500000004</c:v>
                </c:pt>
                <c:pt idx="486">
                  <c:v>12475.3513</c:v>
                </c:pt>
                <c:pt idx="487">
                  <c:v>1253.9359999999999</c:v>
                </c:pt>
                <c:pt idx="488">
                  <c:v>48885.135609999998</c:v>
                </c:pt>
                <c:pt idx="489">
                  <c:v>10461.9794</c:v>
                </c:pt>
                <c:pt idx="490">
                  <c:v>1748.7739999999999</c:v>
                </c:pt>
                <c:pt idx="491">
                  <c:v>24513.091260000001</c:v>
                </c:pt>
                <c:pt idx="492">
                  <c:v>2196.4731999999999</c:v>
                </c:pt>
                <c:pt idx="493">
                  <c:v>12574.049000000001</c:v>
                </c:pt>
                <c:pt idx="494">
                  <c:v>17942.106</c:v>
                </c:pt>
                <c:pt idx="495">
                  <c:v>1967.0227</c:v>
                </c:pt>
                <c:pt idx="496">
                  <c:v>4931.6469999999999</c:v>
                </c:pt>
                <c:pt idx="497">
                  <c:v>8027.9679999999998</c:v>
                </c:pt>
                <c:pt idx="498">
                  <c:v>8211.1002000000008</c:v>
                </c:pt>
                <c:pt idx="499">
                  <c:v>13470.86</c:v>
                </c:pt>
                <c:pt idx="500">
                  <c:v>36197.699000000001</c:v>
                </c:pt>
                <c:pt idx="501">
                  <c:v>6837.3687</c:v>
                </c:pt>
                <c:pt idx="502">
                  <c:v>22218.1149</c:v>
                </c:pt>
                <c:pt idx="503">
                  <c:v>32548.340499999998</c:v>
                </c:pt>
                <c:pt idx="504">
                  <c:v>5974.3846999999996</c:v>
                </c:pt>
                <c:pt idx="505">
                  <c:v>6796.8632500000003</c:v>
                </c:pt>
                <c:pt idx="506">
                  <c:v>2643.2685000000001</c:v>
                </c:pt>
                <c:pt idx="507">
                  <c:v>3077.0954999999999</c:v>
                </c:pt>
                <c:pt idx="508">
                  <c:v>3044.2132999999999</c:v>
                </c:pt>
                <c:pt idx="509">
                  <c:v>11455.28</c:v>
                </c:pt>
                <c:pt idx="510">
                  <c:v>11763.000899999999</c:v>
                </c:pt>
                <c:pt idx="511">
                  <c:v>2498.4144000000001</c:v>
                </c:pt>
                <c:pt idx="512">
                  <c:v>9361.3268000000007</c:v>
                </c:pt>
                <c:pt idx="513">
                  <c:v>1256.299</c:v>
                </c:pt>
                <c:pt idx="514">
                  <c:v>21082.16</c:v>
                </c:pt>
                <c:pt idx="515">
                  <c:v>11362.754999999999</c:v>
                </c:pt>
                <c:pt idx="516">
                  <c:v>27724.28875</c:v>
                </c:pt>
                <c:pt idx="517">
                  <c:v>8413.4630500000003</c:v>
                </c:pt>
                <c:pt idx="518">
                  <c:v>5240.7650000000003</c:v>
                </c:pt>
                <c:pt idx="519">
                  <c:v>3857.7592500000001</c:v>
                </c:pt>
                <c:pt idx="520">
                  <c:v>25656.575260000001</c:v>
                </c:pt>
                <c:pt idx="521">
                  <c:v>3994.1777999999999</c:v>
                </c:pt>
                <c:pt idx="522">
                  <c:v>9866.3048500000004</c:v>
                </c:pt>
                <c:pt idx="523">
                  <c:v>5397.6166999999996</c:v>
                </c:pt>
                <c:pt idx="524">
                  <c:v>38245.593269999998</c:v>
                </c:pt>
                <c:pt idx="525">
                  <c:v>11482.63485</c:v>
                </c:pt>
                <c:pt idx="526">
                  <c:v>24059.680189999999</c:v>
                </c:pt>
                <c:pt idx="527">
                  <c:v>9861.0249999999996</c:v>
                </c:pt>
                <c:pt idx="528">
                  <c:v>8342.9087500000005</c:v>
                </c:pt>
                <c:pt idx="529">
                  <c:v>1708.0014000000001</c:v>
                </c:pt>
                <c:pt idx="530">
                  <c:v>48675.517699999997</c:v>
                </c:pt>
                <c:pt idx="531">
                  <c:v>14043.476699999999</c:v>
                </c:pt>
                <c:pt idx="532">
                  <c:v>12925.886</c:v>
                </c:pt>
                <c:pt idx="533">
                  <c:v>19214.705529999999</c:v>
                </c:pt>
                <c:pt idx="534">
                  <c:v>13831.1152</c:v>
                </c:pt>
                <c:pt idx="535">
                  <c:v>6067.1267500000004</c:v>
                </c:pt>
                <c:pt idx="536">
                  <c:v>5972.3779999999997</c:v>
                </c:pt>
                <c:pt idx="537">
                  <c:v>8825.0859999999993</c:v>
                </c:pt>
                <c:pt idx="538">
                  <c:v>8233.0974999999999</c:v>
                </c:pt>
                <c:pt idx="539">
                  <c:v>27346.04207</c:v>
                </c:pt>
                <c:pt idx="540">
                  <c:v>6196.4480000000003</c:v>
                </c:pt>
                <c:pt idx="541">
                  <c:v>3056.3881000000001</c:v>
                </c:pt>
                <c:pt idx="542">
                  <c:v>13887.204</c:v>
                </c:pt>
                <c:pt idx="543">
                  <c:v>63770.428010000003</c:v>
                </c:pt>
                <c:pt idx="544">
                  <c:v>10231.499900000001</c:v>
                </c:pt>
                <c:pt idx="545">
                  <c:v>23807.240600000001</c:v>
                </c:pt>
                <c:pt idx="546">
                  <c:v>3268.84665</c:v>
                </c:pt>
                <c:pt idx="547">
                  <c:v>11538.421</c:v>
                </c:pt>
                <c:pt idx="548">
                  <c:v>3213.6220499999999</c:v>
                </c:pt>
                <c:pt idx="549">
                  <c:v>45863.205000000002</c:v>
                </c:pt>
                <c:pt idx="550">
                  <c:v>13390.558999999999</c:v>
                </c:pt>
                <c:pt idx="551">
                  <c:v>3972.9247</c:v>
                </c:pt>
                <c:pt idx="552">
                  <c:v>12957.118</c:v>
                </c:pt>
                <c:pt idx="553">
                  <c:v>11187.6567</c:v>
                </c:pt>
                <c:pt idx="554">
                  <c:v>17878.900679999999</c:v>
                </c:pt>
                <c:pt idx="555">
                  <c:v>3847.674</c:v>
                </c:pt>
                <c:pt idx="556">
                  <c:v>8334.5895999999993</c:v>
                </c:pt>
                <c:pt idx="557">
                  <c:v>3935.1799000000001</c:v>
                </c:pt>
                <c:pt idx="558">
                  <c:v>39983.425949999997</c:v>
                </c:pt>
                <c:pt idx="559">
                  <c:v>1646.4296999999999</c:v>
                </c:pt>
                <c:pt idx="560">
                  <c:v>9193.8384999999998</c:v>
                </c:pt>
                <c:pt idx="561">
                  <c:v>10923.933199999999</c:v>
                </c:pt>
                <c:pt idx="562">
                  <c:v>2494.0219999999999</c:v>
                </c:pt>
                <c:pt idx="563">
                  <c:v>9058.7302999999993</c:v>
                </c:pt>
                <c:pt idx="564">
                  <c:v>2801.2588000000001</c:v>
                </c:pt>
                <c:pt idx="565">
                  <c:v>2128.4310500000001</c:v>
                </c:pt>
                <c:pt idx="566">
                  <c:v>6373.55735</c:v>
                </c:pt>
                <c:pt idx="567">
                  <c:v>7256.7231000000002</c:v>
                </c:pt>
                <c:pt idx="568">
                  <c:v>11552.904</c:v>
                </c:pt>
                <c:pt idx="569">
                  <c:v>45702.022349999999</c:v>
                </c:pt>
                <c:pt idx="570">
                  <c:v>3761.2919999999999</c:v>
                </c:pt>
                <c:pt idx="571">
                  <c:v>2219.4450999999999</c:v>
                </c:pt>
                <c:pt idx="572">
                  <c:v>4753.6368000000002</c:v>
                </c:pt>
                <c:pt idx="573">
                  <c:v>31620.001059999999</c:v>
                </c:pt>
                <c:pt idx="574">
                  <c:v>13224.057049999999</c:v>
                </c:pt>
                <c:pt idx="575">
                  <c:v>12222.898300000001</c:v>
                </c:pt>
                <c:pt idx="576">
                  <c:v>1664.9996000000001</c:v>
                </c:pt>
                <c:pt idx="577">
                  <c:v>58571.074480000003</c:v>
                </c:pt>
                <c:pt idx="578">
                  <c:v>9724.5300000000007</c:v>
                </c:pt>
                <c:pt idx="579">
                  <c:v>3206.4913499999998</c:v>
                </c:pt>
                <c:pt idx="580">
                  <c:v>12913.992399999999</c:v>
                </c:pt>
                <c:pt idx="581">
                  <c:v>1639.5631000000001</c:v>
                </c:pt>
                <c:pt idx="582">
                  <c:v>6356.2707</c:v>
                </c:pt>
                <c:pt idx="583">
                  <c:v>17626.239509999999</c:v>
                </c:pt>
                <c:pt idx="584">
                  <c:v>1242.816</c:v>
                </c:pt>
                <c:pt idx="585">
                  <c:v>4779.6022999999996</c:v>
                </c:pt>
                <c:pt idx="586">
                  <c:v>3861.2096499999998</c:v>
                </c:pt>
                <c:pt idx="587">
                  <c:v>43943.876100000001</c:v>
                </c:pt>
                <c:pt idx="588">
                  <c:v>13635.6379</c:v>
                </c:pt>
                <c:pt idx="589">
                  <c:v>5976.8311000000003</c:v>
                </c:pt>
                <c:pt idx="590">
                  <c:v>11842.441999999999</c:v>
                </c:pt>
                <c:pt idx="591">
                  <c:v>8428.0692999999992</c:v>
                </c:pt>
                <c:pt idx="592">
                  <c:v>2566.4706999999999</c:v>
                </c:pt>
                <c:pt idx="593">
                  <c:v>15359.104499999999</c:v>
                </c:pt>
                <c:pt idx="594">
                  <c:v>5709.1643999999997</c:v>
                </c:pt>
                <c:pt idx="595">
                  <c:v>8823.9857499999998</c:v>
                </c:pt>
                <c:pt idx="596">
                  <c:v>7640.3091999999997</c:v>
                </c:pt>
                <c:pt idx="597">
                  <c:v>5594.8455000000004</c:v>
                </c:pt>
                <c:pt idx="598">
                  <c:v>7441.5010000000002</c:v>
                </c:pt>
                <c:pt idx="599">
                  <c:v>33471.971890000001</c:v>
                </c:pt>
                <c:pt idx="600">
                  <c:v>1633.0444</c:v>
                </c:pt>
                <c:pt idx="601">
                  <c:v>9174.1356500000002</c:v>
                </c:pt>
                <c:pt idx="602">
                  <c:v>11070.535</c:v>
                </c:pt>
                <c:pt idx="603">
                  <c:v>16085.127500000001</c:v>
                </c:pt>
                <c:pt idx="604">
                  <c:v>17468.983899999999</c:v>
                </c:pt>
                <c:pt idx="605">
                  <c:v>9283.5619999999999</c:v>
                </c:pt>
                <c:pt idx="606">
                  <c:v>3558.6202499999999</c:v>
                </c:pt>
                <c:pt idx="607">
                  <c:v>25678.778450000002</c:v>
                </c:pt>
                <c:pt idx="608">
                  <c:v>4435.0941999999995</c:v>
                </c:pt>
                <c:pt idx="609">
                  <c:v>39241.442000000003</c:v>
                </c:pt>
                <c:pt idx="610">
                  <c:v>8547.6913000000004</c:v>
                </c:pt>
                <c:pt idx="611">
                  <c:v>6571.5439999999999</c:v>
                </c:pt>
                <c:pt idx="612">
                  <c:v>2207.6974500000001</c:v>
                </c:pt>
                <c:pt idx="613">
                  <c:v>6753.0379999999996</c:v>
                </c:pt>
                <c:pt idx="614">
                  <c:v>1880.07</c:v>
                </c:pt>
                <c:pt idx="615">
                  <c:v>42969.852700000003</c:v>
                </c:pt>
                <c:pt idx="616">
                  <c:v>11658.11505</c:v>
                </c:pt>
                <c:pt idx="617">
                  <c:v>23306.546999999999</c:v>
                </c:pt>
                <c:pt idx="618">
                  <c:v>34439.855900000002</c:v>
                </c:pt>
                <c:pt idx="619">
                  <c:v>10713.644</c:v>
                </c:pt>
                <c:pt idx="620">
                  <c:v>3659.346</c:v>
                </c:pt>
                <c:pt idx="621">
                  <c:v>40182.245999999999</c:v>
                </c:pt>
                <c:pt idx="622">
                  <c:v>9182.17</c:v>
                </c:pt>
                <c:pt idx="623">
                  <c:v>34617.840649999998</c:v>
                </c:pt>
                <c:pt idx="624">
                  <c:v>12129.614149999999</c:v>
                </c:pt>
                <c:pt idx="625">
                  <c:v>3736.4647</c:v>
                </c:pt>
                <c:pt idx="626">
                  <c:v>6748.5911999999998</c:v>
                </c:pt>
                <c:pt idx="627">
                  <c:v>11326.71487</c:v>
                </c:pt>
                <c:pt idx="628">
                  <c:v>11365.951999999999</c:v>
                </c:pt>
                <c:pt idx="629">
                  <c:v>42983.458500000001</c:v>
                </c:pt>
                <c:pt idx="630">
                  <c:v>10085.846</c:v>
                </c:pt>
                <c:pt idx="631">
                  <c:v>1977.8150000000001</c:v>
                </c:pt>
                <c:pt idx="632">
                  <c:v>3366.6696999999999</c:v>
                </c:pt>
                <c:pt idx="633">
                  <c:v>7173.35995</c:v>
                </c:pt>
                <c:pt idx="634">
                  <c:v>9391.3459999999995</c:v>
                </c:pt>
                <c:pt idx="635">
                  <c:v>14410.9321</c:v>
                </c:pt>
                <c:pt idx="636">
                  <c:v>2709.1118999999999</c:v>
                </c:pt>
                <c:pt idx="637">
                  <c:v>24915.046259999999</c:v>
                </c:pt>
                <c:pt idx="638">
                  <c:v>20149.322899999999</c:v>
                </c:pt>
                <c:pt idx="639">
                  <c:v>12949.1554</c:v>
                </c:pt>
                <c:pt idx="640">
                  <c:v>6666.2430000000004</c:v>
                </c:pt>
                <c:pt idx="641">
                  <c:v>32787.458590000002</c:v>
                </c:pt>
                <c:pt idx="642">
                  <c:v>13143.86485</c:v>
                </c:pt>
                <c:pt idx="643">
                  <c:v>4466.6214</c:v>
                </c:pt>
                <c:pt idx="644">
                  <c:v>18806.145469999999</c:v>
                </c:pt>
                <c:pt idx="645">
                  <c:v>10141.136200000001</c:v>
                </c:pt>
                <c:pt idx="646">
                  <c:v>6123.5688</c:v>
                </c:pt>
                <c:pt idx="647">
                  <c:v>8252.2842999999993</c:v>
                </c:pt>
                <c:pt idx="648">
                  <c:v>1712.2270000000001</c:v>
                </c:pt>
                <c:pt idx="649">
                  <c:v>12430.95335</c:v>
                </c:pt>
                <c:pt idx="650">
                  <c:v>9800.8881999999994</c:v>
                </c:pt>
                <c:pt idx="651">
                  <c:v>10579.710999999999</c:v>
                </c:pt>
                <c:pt idx="652">
                  <c:v>8280.6226999999999</c:v>
                </c:pt>
                <c:pt idx="653">
                  <c:v>8527.5319999999992</c:v>
                </c:pt>
                <c:pt idx="654">
                  <c:v>12244.531000000001</c:v>
                </c:pt>
                <c:pt idx="655">
                  <c:v>24667.419000000002</c:v>
                </c:pt>
                <c:pt idx="656">
                  <c:v>3410.3240000000001</c:v>
                </c:pt>
                <c:pt idx="657">
                  <c:v>4058.71245</c:v>
                </c:pt>
                <c:pt idx="658">
                  <c:v>26392.260289999998</c:v>
                </c:pt>
                <c:pt idx="659">
                  <c:v>14394.398150000001</c:v>
                </c:pt>
                <c:pt idx="660">
                  <c:v>6435.6237000000001</c:v>
                </c:pt>
                <c:pt idx="661">
                  <c:v>22192.437109999999</c:v>
                </c:pt>
                <c:pt idx="662">
                  <c:v>5148.5526</c:v>
                </c:pt>
                <c:pt idx="663">
                  <c:v>1136.3994</c:v>
                </c:pt>
                <c:pt idx="664">
                  <c:v>27037.914100000002</c:v>
                </c:pt>
                <c:pt idx="665">
                  <c:v>42560.430399999997</c:v>
                </c:pt>
                <c:pt idx="666">
                  <c:v>8703.4560000000001</c:v>
                </c:pt>
                <c:pt idx="667">
                  <c:v>40003.332249999999</c:v>
                </c:pt>
                <c:pt idx="668">
                  <c:v>45710.207849999999</c:v>
                </c:pt>
                <c:pt idx="669">
                  <c:v>6500.2358999999997</c:v>
                </c:pt>
                <c:pt idx="670">
                  <c:v>4837.5823</c:v>
                </c:pt>
                <c:pt idx="671">
                  <c:v>3943.5954000000002</c:v>
                </c:pt>
                <c:pt idx="672">
                  <c:v>4399.7309999999998</c:v>
                </c:pt>
                <c:pt idx="673">
                  <c:v>6185.3208000000004</c:v>
                </c:pt>
                <c:pt idx="674">
                  <c:v>46200.985099999998</c:v>
                </c:pt>
                <c:pt idx="675">
                  <c:v>7222.7862500000001</c:v>
                </c:pt>
                <c:pt idx="676">
                  <c:v>12485.8009</c:v>
                </c:pt>
                <c:pt idx="677">
                  <c:v>46130.5265</c:v>
                </c:pt>
                <c:pt idx="678">
                  <c:v>12363.547</c:v>
                </c:pt>
                <c:pt idx="679">
                  <c:v>10156.7832</c:v>
                </c:pt>
                <c:pt idx="680">
                  <c:v>2585.2689999999998</c:v>
                </c:pt>
                <c:pt idx="681">
                  <c:v>1242.26</c:v>
                </c:pt>
                <c:pt idx="682">
                  <c:v>40103.89</c:v>
                </c:pt>
                <c:pt idx="683">
                  <c:v>9863.4717999999993</c:v>
                </c:pt>
                <c:pt idx="684">
                  <c:v>4766.0219999999999</c:v>
                </c:pt>
                <c:pt idx="685">
                  <c:v>11244.376899999999</c:v>
                </c:pt>
                <c:pt idx="686">
                  <c:v>7729.6457499999997</c:v>
                </c:pt>
                <c:pt idx="687">
                  <c:v>5438.7491</c:v>
                </c:pt>
                <c:pt idx="688">
                  <c:v>26236.579969999999</c:v>
                </c:pt>
                <c:pt idx="689">
                  <c:v>34806.467700000001</c:v>
                </c:pt>
                <c:pt idx="690">
                  <c:v>2104.1134000000002</c:v>
                </c:pt>
                <c:pt idx="691">
                  <c:v>8068.1850000000004</c:v>
                </c:pt>
                <c:pt idx="692">
                  <c:v>2362.2290499999999</c:v>
                </c:pt>
                <c:pt idx="693">
                  <c:v>2352.9684499999998</c:v>
                </c:pt>
                <c:pt idx="694">
                  <c:v>3577.9989999999998</c:v>
                </c:pt>
                <c:pt idx="695">
                  <c:v>3201.2451500000002</c:v>
                </c:pt>
                <c:pt idx="696">
                  <c:v>29186.482360000002</c:v>
                </c:pt>
                <c:pt idx="697">
                  <c:v>40273.645499999999</c:v>
                </c:pt>
                <c:pt idx="698">
                  <c:v>10976.24575</c:v>
                </c:pt>
                <c:pt idx="699">
                  <c:v>3500.6122999999998</c:v>
                </c:pt>
                <c:pt idx="700">
                  <c:v>2020.5523000000001</c:v>
                </c:pt>
                <c:pt idx="701">
                  <c:v>9541.6955500000004</c:v>
                </c:pt>
                <c:pt idx="702">
                  <c:v>9504.3102999999992</c:v>
                </c:pt>
                <c:pt idx="703">
                  <c:v>5385.3379000000004</c:v>
                </c:pt>
                <c:pt idx="704">
                  <c:v>8930.9345499999999</c:v>
                </c:pt>
                <c:pt idx="705">
                  <c:v>5375.0379999999996</c:v>
                </c:pt>
                <c:pt idx="706">
                  <c:v>44400.4064</c:v>
                </c:pt>
                <c:pt idx="707">
                  <c:v>10264.4421</c:v>
                </c:pt>
                <c:pt idx="708">
                  <c:v>6113.2310500000003</c:v>
                </c:pt>
                <c:pt idx="709">
                  <c:v>5469.0065999999997</c:v>
                </c:pt>
                <c:pt idx="710">
                  <c:v>1727.54</c:v>
                </c:pt>
                <c:pt idx="711">
                  <c:v>10107.220600000001</c:v>
                </c:pt>
                <c:pt idx="712">
                  <c:v>8310.8391499999998</c:v>
                </c:pt>
                <c:pt idx="713">
                  <c:v>1984.4532999999999</c:v>
                </c:pt>
                <c:pt idx="714">
                  <c:v>2457.502</c:v>
                </c:pt>
                <c:pt idx="715">
                  <c:v>12146.971</c:v>
                </c:pt>
                <c:pt idx="716">
                  <c:v>9566.9909000000007</c:v>
                </c:pt>
                <c:pt idx="717">
                  <c:v>13112.604799999999</c:v>
                </c:pt>
                <c:pt idx="718">
                  <c:v>10848.1343</c:v>
                </c:pt>
                <c:pt idx="719">
                  <c:v>12231.613600000001</c:v>
                </c:pt>
                <c:pt idx="720">
                  <c:v>9875.6803999999993</c:v>
                </c:pt>
                <c:pt idx="721">
                  <c:v>11264.540999999999</c:v>
                </c:pt>
                <c:pt idx="722">
                  <c:v>12979.358</c:v>
                </c:pt>
                <c:pt idx="723">
                  <c:v>1263.249</c:v>
                </c:pt>
                <c:pt idx="724">
                  <c:v>10106.134249999999</c:v>
                </c:pt>
                <c:pt idx="725">
                  <c:v>40932.429499999998</c:v>
                </c:pt>
                <c:pt idx="726">
                  <c:v>6664.68595</c:v>
                </c:pt>
                <c:pt idx="727">
                  <c:v>16657.71745</c:v>
                </c:pt>
                <c:pt idx="728">
                  <c:v>2217.6012000000001</c:v>
                </c:pt>
                <c:pt idx="729">
                  <c:v>6781.3541999999998</c:v>
                </c:pt>
                <c:pt idx="730">
                  <c:v>19361.998800000001</c:v>
                </c:pt>
                <c:pt idx="731">
                  <c:v>10065.413</c:v>
                </c:pt>
                <c:pt idx="732">
                  <c:v>4234.9269999999997</c:v>
                </c:pt>
                <c:pt idx="733">
                  <c:v>9447.2503500000003</c:v>
                </c:pt>
                <c:pt idx="734">
                  <c:v>14007.222</c:v>
                </c:pt>
                <c:pt idx="735">
                  <c:v>9583.8932999999997</c:v>
                </c:pt>
                <c:pt idx="736">
                  <c:v>40419.019099999998</c:v>
                </c:pt>
                <c:pt idx="737">
                  <c:v>3484.3310000000001</c:v>
                </c:pt>
                <c:pt idx="738">
                  <c:v>36189.101699999999</c:v>
                </c:pt>
                <c:pt idx="739">
                  <c:v>44585.455869999998</c:v>
                </c:pt>
                <c:pt idx="740">
                  <c:v>8604.4836500000001</c:v>
                </c:pt>
                <c:pt idx="741">
                  <c:v>18246.495500000001</c:v>
                </c:pt>
                <c:pt idx="742">
                  <c:v>43254.417950000003</c:v>
                </c:pt>
                <c:pt idx="743">
                  <c:v>3757.8447999999999</c:v>
                </c:pt>
                <c:pt idx="744">
                  <c:v>8827.2098999999998</c:v>
                </c:pt>
                <c:pt idx="745">
                  <c:v>9910.3598500000007</c:v>
                </c:pt>
                <c:pt idx="746">
                  <c:v>11737.848840000001</c:v>
                </c:pt>
                <c:pt idx="747">
                  <c:v>1627.2824499999999</c:v>
                </c:pt>
                <c:pt idx="748">
                  <c:v>8556.9069999999992</c:v>
                </c:pt>
                <c:pt idx="749">
                  <c:v>3062.5082499999999</c:v>
                </c:pt>
                <c:pt idx="750">
                  <c:v>19539.242999999999</c:v>
                </c:pt>
                <c:pt idx="751">
                  <c:v>1906.35825</c:v>
                </c:pt>
                <c:pt idx="752">
                  <c:v>14210.53595</c:v>
                </c:pt>
                <c:pt idx="753">
                  <c:v>11833.782300000001</c:v>
                </c:pt>
                <c:pt idx="754">
                  <c:v>17128.426080000001</c:v>
                </c:pt>
                <c:pt idx="755">
                  <c:v>5031.26955</c:v>
                </c:pt>
                <c:pt idx="756">
                  <c:v>7985.8149999999996</c:v>
                </c:pt>
                <c:pt idx="757">
                  <c:v>23065.420699999999</c:v>
                </c:pt>
                <c:pt idx="758">
                  <c:v>5428.7277000000004</c:v>
                </c:pt>
                <c:pt idx="759">
                  <c:v>36307.798300000002</c:v>
                </c:pt>
                <c:pt idx="760">
                  <c:v>3925.7582000000002</c:v>
                </c:pt>
                <c:pt idx="761">
                  <c:v>2416.9549999999999</c:v>
                </c:pt>
                <c:pt idx="762">
                  <c:v>19040.876</c:v>
                </c:pt>
                <c:pt idx="763">
                  <c:v>3070.8087</c:v>
                </c:pt>
                <c:pt idx="764">
                  <c:v>9095.0682500000003</c:v>
                </c:pt>
                <c:pt idx="765">
                  <c:v>11842.623750000001</c:v>
                </c:pt>
                <c:pt idx="766">
                  <c:v>8062.7640000000001</c:v>
                </c:pt>
                <c:pt idx="767">
                  <c:v>7050.6419999999998</c:v>
                </c:pt>
                <c:pt idx="768">
                  <c:v>14319.031000000001</c:v>
                </c:pt>
                <c:pt idx="769">
                  <c:v>6933.2422500000002</c:v>
                </c:pt>
                <c:pt idx="770">
                  <c:v>27941.28758</c:v>
                </c:pt>
                <c:pt idx="771">
                  <c:v>11150.78</c:v>
                </c:pt>
                <c:pt idx="772">
                  <c:v>12797.20962</c:v>
                </c:pt>
                <c:pt idx="773">
                  <c:v>17748.5062</c:v>
                </c:pt>
                <c:pt idx="774">
                  <c:v>7261.741</c:v>
                </c:pt>
                <c:pt idx="775">
                  <c:v>10560.4917</c:v>
                </c:pt>
                <c:pt idx="776">
                  <c:v>6986.6970000000001</c:v>
                </c:pt>
                <c:pt idx="777">
                  <c:v>7448.4039499999999</c:v>
                </c:pt>
                <c:pt idx="778">
                  <c:v>5934.3797999999997</c:v>
                </c:pt>
                <c:pt idx="779">
                  <c:v>9869.8101999999999</c:v>
                </c:pt>
                <c:pt idx="780">
                  <c:v>18259.216</c:v>
                </c:pt>
                <c:pt idx="781">
                  <c:v>1146.7965999999999</c:v>
                </c:pt>
                <c:pt idx="782">
                  <c:v>9386.1612999999998</c:v>
                </c:pt>
                <c:pt idx="783">
                  <c:v>24520.263999999999</c:v>
                </c:pt>
                <c:pt idx="784">
                  <c:v>4350.5144</c:v>
                </c:pt>
                <c:pt idx="785">
                  <c:v>6414.1779999999999</c:v>
                </c:pt>
                <c:pt idx="786">
                  <c:v>12741.167450000001</c:v>
                </c:pt>
                <c:pt idx="787">
                  <c:v>1917.3184000000001</c:v>
                </c:pt>
                <c:pt idx="788">
                  <c:v>5209.5788499999999</c:v>
                </c:pt>
                <c:pt idx="789">
                  <c:v>13457.960800000001</c:v>
                </c:pt>
                <c:pt idx="790">
                  <c:v>5662.2250000000004</c:v>
                </c:pt>
                <c:pt idx="791">
                  <c:v>1252.4069999999999</c:v>
                </c:pt>
                <c:pt idx="792">
                  <c:v>2731.9122000000002</c:v>
                </c:pt>
                <c:pt idx="793">
                  <c:v>21195.817999999999</c:v>
                </c:pt>
                <c:pt idx="794">
                  <c:v>7209.4917999999998</c:v>
                </c:pt>
                <c:pt idx="795">
                  <c:v>18310.741999999998</c:v>
                </c:pt>
                <c:pt idx="796">
                  <c:v>4266.1657999999998</c:v>
                </c:pt>
                <c:pt idx="797">
                  <c:v>4719.52405</c:v>
                </c:pt>
                <c:pt idx="798">
                  <c:v>11848.141</c:v>
                </c:pt>
                <c:pt idx="799">
                  <c:v>17904.527050000001</c:v>
                </c:pt>
                <c:pt idx="800">
                  <c:v>7046.7222000000002</c:v>
                </c:pt>
                <c:pt idx="801">
                  <c:v>14313.846299999999</c:v>
                </c:pt>
                <c:pt idx="802">
                  <c:v>2103.08</c:v>
                </c:pt>
                <c:pt idx="803">
                  <c:v>38792.685599999997</c:v>
                </c:pt>
                <c:pt idx="804">
                  <c:v>1815.8759</c:v>
                </c:pt>
                <c:pt idx="805">
                  <c:v>7731.8578500000003</c:v>
                </c:pt>
                <c:pt idx="806">
                  <c:v>28476.734990000001</c:v>
                </c:pt>
                <c:pt idx="807">
                  <c:v>2136.8822500000001</c:v>
                </c:pt>
                <c:pt idx="808">
                  <c:v>1131.5065999999999</c:v>
                </c:pt>
                <c:pt idx="809">
                  <c:v>3309.7926000000002</c:v>
                </c:pt>
                <c:pt idx="810">
                  <c:v>9414.92</c:v>
                </c:pt>
                <c:pt idx="811">
                  <c:v>6360.9935999999998</c:v>
                </c:pt>
                <c:pt idx="812">
                  <c:v>11013.7119</c:v>
                </c:pt>
                <c:pt idx="813">
                  <c:v>4428.8878500000001</c:v>
                </c:pt>
                <c:pt idx="814">
                  <c:v>5584.3056999999999</c:v>
                </c:pt>
                <c:pt idx="815">
                  <c:v>1877.9294</c:v>
                </c:pt>
                <c:pt idx="816">
                  <c:v>2842.7607499999999</c:v>
                </c:pt>
                <c:pt idx="817">
                  <c:v>3597.596</c:v>
                </c:pt>
                <c:pt idx="818">
                  <c:v>23401.30575</c:v>
                </c:pt>
                <c:pt idx="819">
                  <c:v>55135.402090000003</c:v>
                </c:pt>
                <c:pt idx="820">
                  <c:v>7445.9179999999997</c:v>
                </c:pt>
                <c:pt idx="821">
                  <c:v>2680.9493000000002</c:v>
                </c:pt>
                <c:pt idx="822">
                  <c:v>1621.8827000000001</c:v>
                </c:pt>
                <c:pt idx="823">
                  <c:v>8219.2039000000004</c:v>
                </c:pt>
                <c:pt idx="824">
                  <c:v>12523.604799999999</c:v>
                </c:pt>
                <c:pt idx="825">
                  <c:v>16069.08475</c:v>
                </c:pt>
                <c:pt idx="826">
                  <c:v>43813.866099999999</c:v>
                </c:pt>
                <c:pt idx="827">
                  <c:v>20773.62775</c:v>
                </c:pt>
                <c:pt idx="828">
                  <c:v>39597.407200000001</c:v>
                </c:pt>
                <c:pt idx="829">
                  <c:v>6117.4944999999998</c:v>
                </c:pt>
                <c:pt idx="830">
                  <c:v>13393.755999999999</c:v>
                </c:pt>
                <c:pt idx="831">
                  <c:v>5266.3656000000001</c:v>
                </c:pt>
                <c:pt idx="832">
                  <c:v>4719.7365499999996</c:v>
                </c:pt>
                <c:pt idx="833">
                  <c:v>11743.9341</c:v>
                </c:pt>
                <c:pt idx="834">
                  <c:v>5377.4578000000001</c:v>
                </c:pt>
                <c:pt idx="835">
                  <c:v>7160.3302999999996</c:v>
                </c:pt>
                <c:pt idx="836">
                  <c:v>4402.2330000000002</c:v>
                </c:pt>
                <c:pt idx="837">
                  <c:v>11657.7189</c:v>
                </c:pt>
                <c:pt idx="838">
                  <c:v>6402.2913500000004</c:v>
                </c:pt>
                <c:pt idx="839">
                  <c:v>12622.1795</c:v>
                </c:pt>
                <c:pt idx="840">
                  <c:v>1526.3119999999999</c:v>
                </c:pt>
                <c:pt idx="841">
                  <c:v>12323.936</c:v>
                </c:pt>
                <c:pt idx="842">
                  <c:v>36021.011200000001</c:v>
                </c:pt>
                <c:pt idx="843">
                  <c:v>27533.912899999999</c:v>
                </c:pt>
                <c:pt idx="844">
                  <c:v>10072.055050000001</c:v>
                </c:pt>
                <c:pt idx="845">
                  <c:v>45008.955499999996</c:v>
                </c:pt>
                <c:pt idx="846">
                  <c:v>9872.7009999999991</c:v>
                </c:pt>
                <c:pt idx="847">
                  <c:v>2438.0551999999998</c:v>
                </c:pt>
                <c:pt idx="848">
                  <c:v>2974.1260000000002</c:v>
                </c:pt>
                <c:pt idx="849">
                  <c:v>10601.632250000001</c:v>
                </c:pt>
                <c:pt idx="850">
                  <c:v>37270.1512</c:v>
                </c:pt>
                <c:pt idx="851">
                  <c:v>14119.62</c:v>
                </c:pt>
                <c:pt idx="852">
                  <c:v>42111.664700000001</c:v>
                </c:pt>
                <c:pt idx="853">
                  <c:v>11729.6795</c:v>
                </c:pt>
                <c:pt idx="854">
                  <c:v>24106.912550000001</c:v>
                </c:pt>
                <c:pt idx="855">
                  <c:v>1875.3440000000001</c:v>
                </c:pt>
                <c:pt idx="856">
                  <c:v>40974.164900000003</c:v>
                </c:pt>
                <c:pt idx="857">
                  <c:v>15817.985699999999</c:v>
                </c:pt>
                <c:pt idx="858">
                  <c:v>18218.161390000001</c:v>
                </c:pt>
                <c:pt idx="859">
                  <c:v>10965.446</c:v>
                </c:pt>
                <c:pt idx="860">
                  <c:v>46113.510999999999</c:v>
                </c:pt>
                <c:pt idx="861">
                  <c:v>7151.0919999999996</c:v>
                </c:pt>
                <c:pt idx="862">
                  <c:v>12269.68865</c:v>
                </c:pt>
                <c:pt idx="863">
                  <c:v>5458.0464499999998</c:v>
                </c:pt>
                <c:pt idx="864">
                  <c:v>8782.4689999999991</c:v>
                </c:pt>
                <c:pt idx="865">
                  <c:v>6600.3609999999999</c:v>
                </c:pt>
                <c:pt idx="866">
                  <c:v>1141.4450999999999</c:v>
                </c:pt>
                <c:pt idx="867">
                  <c:v>11576.13</c:v>
                </c:pt>
                <c:pt idx="868">
                  <c:v>13129.603450000001</c:v>
                </c:pt>
                <c:pt idx="869">
                  <c:v>4391.652</c:v>
                </c:pt>
                <c:pt idx="870">
                  <c:v>8457.8179999999993</c:v>
                </c:pt>
                <c:pt idx="871">
                  <c:v>3392.3652000000002</c:v>
                </c:pt>
                <c:pt idx="872">
                  <c:v>5966.8873999999996</c:v>
                </c:pt>
                <c:pt idx="873">
                  <c:v>6849.0259999999998</c:v>
                </c:pt>
                <c:pt idx="874">
                  <c:v>8891.1394999999993</c:v>
                </c:pt>
                <c:pt idx="875">
                  <c:v>2690.1138000000001</c:v>
                </c:pt>
                <c:pt idx="876">
                  <c:v>26140.3603</c:v>
                </c:pt>
                <c:pt idx="877">
                  <c:v>6653.7885999999999</c:v>
                </c:pt>
                <c:pt idx="878">
                  <c:v>6282.2349999999997</c:v>
                </c:pt>
                <c:pt idx="879">
                  <c:v>6311.9520000000002</c:v>
                </c:pt>
                <c:pt idx="880">
                  <c:v>3443.0639999999999</c:v>
                </c:pt>
                <c:pt idx="881">
                  <c:v>2789.0574000000001</c:v>
                </c:pt>
                <c:pt idx="882">
                  <c:v>2585.8506499999999</c:v>
                </c:pt>
                <c:pt idx="883">
                  <c:v>46255.112500000003</c:v>
                </c:pt>
                <c:pt idx="884">
                  <c:v>4877.9810500000003</c:v>
                </c:pt>
                <c:pt idx="885">
                  <c:v>19719.6947</c:v>
                </c:pt>
                <c:pt idx="886">
                  <c:v>27218.437249999999</c:v>
                </c:pt>
                <c:pt idx="887">
                  <c:v>5272.1758</c:v>
                </c:pt>
                <c:pt idx="888">
                  <c:v>1682.597</c:v>
                </c:pt>
                <c:pt idx="889">
                  <c:v>11945.1327</c:v>
                </c:pt>
                <c:pt idx="890">
                  <c:v>29330.98315</c:v>
                </c:pt>
                <c:pt idx="891">
                  <c:v>7243.8136000000004</c:v>
                </c:pt>
                <c:pt idx="892">
                  <c:v>10422.916649999999</c:v>
                </c:pt>
                <c:pt idx="893">
                  <c:v>44202.653599999998</c:v>
                </c:pt>
                <c:pt idx="894">
                  <c:v>13555.0049</c:v>
                </c:pt>
                <c:pt idx="895">
                  <c:v>13063.883</c:v>
                </c:pt>
                <c:pt idx="896">
                  <c:v>19798.054550000001</c:v>
                </c:pt>
                <c:pt idx="897">
                  <c:v>2221.5644499999999</c:v>
                </c:pt>
                <c:pt idx="898">
                  <c:v>1634.5734</c:v>
                </c:pt>
                <c:pt idx="899">
                  <c:v>2117.3388500000001</c:v>
                </c:pt>
                <c:pt idx="900">
                  <c:v>8688.8588500000005</c:v>
                </c:pt>
                <c:pt idx="901">
                  <c:v>48673.558799999999</c:v>
                </c:pt>
                <c:pt idx="902">
                  <c:v>4661.2863500000003</c:v>
                </c:pt>
                <c:pt idx="903">
                  <c:v>8125.7844999999998</c:v>
                </c:pt>
                <c:pt idx="904">
                  <c:v>12644.589</c:v>
                </c:pt>
                <c:pt idx="905">
                  <c:v>4564.1914500000003</c:v>
                </c:pt>
                <c:pt idx="906">
                  <c:v>4846.9201499999999</c:v>
                </c:pt>
                <c:pt idx="907">
                  <c:v>7633.7205999999996</c:v>
                </c:pt>
                <c:pt idx="908">
                  <c:v>15170.069</c:v>
                </c:pt>
                <c:pt idx="909">
                  <c:v>17496.306</c:v>
                </c:pt>
                <c:pt idx="910">
                  <c:v>2639.0428999999999</c:v>
                </c:pt>
                <c:pt idx="911">
                  <c:v>33732.686699999998</c:v>
                </c:pt>
                <c:pt idx="912">
                  <c:v>14382.709049999999</c:v>
                </c:pt>
                <c:pt idx="913">
                  <c:v>7626.9930000000004</c:v>
                </c:pt>
                <c:pt idx="914">
                  <c:v>5257.5079500000002</c:v>
                </c:pt>
                <c:pt idx="915">
                  <c:v>2473.3341</c:v>
                </c:pt>
                <c:pt idx="916">
                  <c:v>21774.32215</c:v>
                </c:pt>
                <c:pt idx="917">
                  <c:v>35069.374519999998</c:v>
                </c:pt>
                <c:pt idx="918">
                  <c:v>13041.921</c:v>
                </c:pt>
                <c:pt idx="919">
                  <c:v>5245.2268999999997</c:v>
                </c:pt>
                <c:pt idx="920">
                  <c:v>13451.121999999999</c:v>
                </c:pt>
                <c:pt idx="921">
                  <c:v>13462.52</c:v>
                </c:pt>
                <c:pt idx="922">
                  <c:v>5488.2619999999997</c:v>
                </c:pt>
                <c:pt idx="923">
                  <c:v>4320.4108500000002</c:v>
                </c:pt>
                <c:pt idx="924">
                  <c:v>6250.4350000000004</c:v>
                </c:pt>
                <c:pt idx="925">
                  <c:v>25333.332839999999</c:v>
                </c:pt>
                <c:pt idx="926">
                  <c:v>2913.569</c:v>
                </c:pt>
                <c:pt idx="927">
                  <c:v>12032.325999999999</c:v>
                </c:pt>
                <c:pt idx="928">
                  <c:v>13470.804400000001</c:v>
                </c:pt>
                <c:pt idx="929">
                  <c:v>6289.7548999999999</c:v>
                </c:pt>
                <c:pt idx="930">
                  <c:v>2927.0646999999999</c:v>
                </c:pt>
                <c:pt idx="931">
                  <c:v>6238.2979999999998</c:v>
                </c:pt>
                <c:pt idx="932">
                  <c:v>10096.969999999999</c:v>
                </c:pt>
                <c:pt idx="933">
                  <c:v>7348.1419999999998</c:v>
                </c:pt>
                <c:pt idx="934">
                  <c:v>4673.3922000000002</c:v>
                </c:pt>
                <c:pt idx="935">
                  <c:v>12233.828</c:v>
                </c:pt>
                <c:pt idx="936">
                  <c:v>32108.662820000001</c:v>
                </c:pt>
                <c:pt idx="937">
                  <c:v>8965.7957499999993</c:v>
                </c:pt>
                <c:pt idx="938">
                  <c:v>2304.0021999999999</c:v>
                </c:pt>
                <c:pt idx="939">
                  <c:v>9487.6442000000006</c:v>
                </c:pt>
                <c:pt idx="940">
                  <c:v>1121.8739</c:v>
                </c:pt>
                <c:pt idx="941">
                  <c:v>9549.5650999999998</c:v>
                </c:pt>
                <c:pt idx="942">
                  <c:v>2217.4691499999999</c:v>
                </c:pt>
                <c:pt idx="943">
                  <c:v>1628.4709</c:v>
                </c:pt>
                <c:pt idx="944">
                  <c:v>12982.8747</c:v>
                </c:pt>
                <c:pt idx="945">
                  <c:v>11674.13</c:v>
                </c:pt>
                <c:pt idx="946">
                  <c:v>7160.0940000000001</c:v>
                </c:pt>
                <c:pt idx="947">
                  <c:v>39047.285000000003</c:v>
                </c:pt>
                <c:pt idx="948">
                  <c:v>6358.7764500000003</c:v>
                </c:pt>
                <c:pt idx="949">
                  <c:v>19933.457999999999</c:v>
                </c:pt>
                <c:pt idx="950">
                  <c:v>11534.872649999999</c:v>
                </c:pt>
                <c:pt idx="951">
                  <c:v>47462.894</c:v>
                </c:pt>
                <c:pt idx="952">
                  <c:v>4527.1829500000003</c:v>
                </c:pt>
                <c:pt idx="953">
                  <c:v>38998.546000000002</c:v>
                </c:pt>
                <c:pt idx="954">
                  <c:v>20009.63365</c:v>
                </c:pt>
                <c:pt idx="955">
                  <c:v>3875.7341000000001</c:v>
                </c:pt>
                <c:pt idx="956">
                  <c:v>41999.519999999997</c:v>
                </c:pt>
                <c:pt idx="957">
                  <c:v>12609.88702</c:v>
                </c:pt>
                <c:pt idx="958">
                  <c:v>41034.221400000002</c:v>
                </c:pt>
                <c:pt idx="959">
                  <c:v>28468.919010000001</c:v>
                </c:pt>
                <c:pt idx="960">
                  <c:v>2730.1078499999999</c:v>
                </c:pt>
                <c:pt idx="961">
                  <c:v>3353.2840000000001</c:v>
                </c:pt>
                <c:pt idx="962">
                  <c:v>14474.674999999999</c:v>
                </c:pt>
                <c:pt idx="963">
                  <c:v>9500.5730500000009</c:v>
                </c:pt>
                <c:pt idx="964">
                  <c:v>26467.09737</c:v>
                </c:pt>
                <c:pt idx="965">
                  <c:v>4746.3440000000001</c:v>
                </c:pt>
                <c:pt idx="966">
                  <c:v>23967.38305</c:v>
                </c:pt>
                <c:pt idx="967">
                  <c:v>7518.0253499999999</c:v>
                </c:pt>
                <c:pt idx="968">
                  <c:v>3279.8685500000001</c:v>
                </c:pt>
                <c:pt idx="969">
                  <c:v>8596.8277999999991</c:v>
                </c:pt>
                <c:pt idx="970">
                  <c:v>10702.642400000001</c:v>
                </c:pt>
                <c:pt idx="971">
                  <c:v>4992.3764000000001</c:v>
                </c:pt>
                <c:pt idx="972">
                  <c:v>2527.8186500000002</c:v>
                </c:pt>
                <c:pt idx="973">
                  <c:v>1759.338</c:v>
                </c:pt>
                <c:pt idx="974">
                  <c:v>2322.6217999999999</c:v>
                </c:pt>
                <c:pt idx="975">
                  <c:v>16138.762049999999</c:v>
                </c:pt>
                <c:pt idx="976">
                  <c:v>7804.1605</c:v>
                </c:pt>
                <c:pt idx="977">
                  <c:v>2902.9065000000001</c:v>
                </c:pt>
                <c:pt idx="978">
                  <c:v>9704.6680500000002</c:v>
                </c:pt>
                <c:pt idx="979">
                  <c:v>4889.0367999999999</c:v>
                </c:pt>
                <c:pt idx="980">
                  <c:v>25517.11363</c:v>
                </c:pt>
                <c:pt idx="981">
                  <c:v>4500.33925</c:v>
                </c:pt>
                <c:pt idx="982">
                  <c:v>19199.944</c:v>
                </c:pt>
                <c:pt idx="983">
                  <c:v>16796.411940000002</c:v>
                </c:pt>
                <c:pt idx="984">
                  <c:v>4915.0598499999996</c:v>
                </c:pt>
                <c:pt idx="985">
                  <c:v>7624.63</c:v>
                </c:pt>
                <c:pt idx="986">
                  <c:v>8410.0468500000006</c:v>
                </c:pt>
                <c:pt idx="987">
                  <c:v>28340.188849999999</c:v>
                </c:pt>
                <c:pt idx="988">
                  <c:v>4518.8262500000001</c:v>
                </c:pt>
                <c:pt idx="989">
                  <c:v>14571.890799999999</c:v>
                </c:pt>
                <c:pt idx="990">
                  <c:v>3378.91</c:v>
                </c:pt>
                <c:pt idx="991">
                  <c:v>7144.86265</c:v>
                </c:pt>
                <c:pt idx="992">
                  <c:v>10118.424000000001</c:v>
                </c:pt>
                <c:pt idx="993">
                  <c:v>5484.4673000000003</c:v>
                </c:pt>
                <c:pt idx="994">
                  <c:v>16420.494549999999</c:v>
                </c:pt>
                <c:pt idx="995">
                  <c:v>7986.4752500000004</c:v>
                </c:pt>
                <c:pt idx="996">
                  <c:v>7418.5219999999999</c:v>
                </c:pt>
                <c:pt idx="997">
                  <c:v>13887.968500000001</c:v>
                </c:pt>
                <c:pt idx="998">
                  <c:v>6551.7501000000002</c:v>
                </c:pt>
                <c:pt idx="999">
                  <c:v>5267.8181500000001</c:v>
                </c:pt>
                <c:pt idx="1000">
                  <c:v>17361.766100000001</c:v>
                </c:pt>
                <c:pt idx="1001">
                  <c:v>34472.841</c:v>
                </c:pt>
                <c:pt idx="1002">
                  <c:v>1972.95</c:v>
                </c:pt>
                <c:pt idx="1003">
                  <c:v>21232.182260000001</c:v>
                </c:pt>
                <c:pt idx="1004">
                  <c:v>8627.5411000000004</c:v>
                </c:pt>
                <c:pt idx="1005">
                  <c:v>4433.3877000000002</c:v>
                </c:pt>
                <c:pt idx="1006">
                  <c:v>4438.2633999999998</c:v>
                </c:pt>
                <c:pt idx="1007">
                  <c:v>24915.220850000002</c:v>
                </c:pt>
                <c:pt idx="1008">
                  <c:v>23241.47453</c:v>
                </c:pt>
                <c:pt idx="1009">
                  <c:v>9957.7216000000008</c:v>
                </c:pt>
                <c:pt idx="1010">
                  <c:v>8269.0439999999999</c:v>
                </c:pt>
                <c:pt idx="1011">
                  <c:v>18767.737700000001</c:v>
                </c:pt>
                <c:pt idx="1012">
                  <c:v>36580.282160000002</c:v>
                </c:pt>
                <c:pt idx="1013">
                  <c:v>8765.2489999999998</c:v>
                </c:pt>
                <c:pt idx="1014">
                  <c:v>5383.5360000000001</c:v>
                </c:pt>
                <c:pt idx="1015">
                  <c:v>12124.992399999999</c:v>
                </c:pt>
                <c:pt idx="1016">
                  <c:v>2709.24395</c:v>
                </c:pt>
                <c:pt idx="1017">
                  <c:v>3987.9259999999999</c:v>
                </c:pt>
                <c:pt idx="1018">
                  <c:v>12495.290849999999</c:v>
                </c:pt>
                <c:pt idx="1019">
                  <c:v>26018.950519999999</c:v>
                </c:pt>
                <c:pt idx="1020">
                  <c:v>8798.5930000000008</c:v>
                </c:pt>
                <c:pt idx="1021">
                  <c:v>35595.589800000002</c:v>
                </c:pt>
                <c:pt idx="1022">
                  <c:v>42211.138200000001</c:v>
                </c:pt>
                <c:pt idx="1023">
                  <c:v>1711.0268000000001</c:v>
                </c:pt>
                <c:pt idx="1024">
                  <c:v>8569.8618000000006</c:v>
                </c:pt>
                <c:pt idx="1025">
                  <c:v>2020.1769999999999</c:v>
                </c:pt>
                <c:pt idx="1026">
                  <c:v>16450.894700000001</c:v>
                </c:pt>
                <c:pt idx="1027">
                  <c:v>21595.382290000001</c:v>
                </c:pt>
                <c:pt idx="1028">
                  <c:v>9850.4320000000007</c:v>
                </c:pt>
                <c:pt idx="1029">
                  <c:v>6877.9800999999998</c:v>
                </c:pt>
                <c:pt idx="1030">
                  <c:v>21677.283449999999</c:v>
                </c:pt>
                <c:pt idx="1031">
                  <c:v>44423.803</c:v>
                </c:pt>
                <c:pt idx="1032">
                  <c:v>4137.5227000000004</c:v>
                </c:pt>
                <c:pt idx="1033">
                  <c:v>13747.87235</c:v>
                </c:pt>
                <c:pt idx="1034">
                  <c:v>12950.0712</c:v>
                </c:pt>
                <c:pt idx="1035">
                  <c:v>12094.477999999999</c:v>
                </c:pt>
                <c:pt idx="1036">
                  <c:v>37484.4493</c:v>
                </c:pt>
                <c:pt idx="1037">
                  <c:v>39725.518049999999</c:v>
                </c:pt>
                <c:pt idx="1038">
                  <c:v>2250.8352</c:v>
                </c:pt>
                <c:pt idx="1039">
                  <c:v>22493.659640000002</c:v>
                </c:pt>
                <c:pt idx="1040">
                  <c:v>20234.854749999999</c:v>
                </c:pt>
                <c:pt idx="1041">
                  <c:v>1704.7001499999999</c:v>
                </c:pt>
                <c:pt idx="1042">
                  <c:v>33475.817150000003</c:v>
                </c:pt>
                <c:pt idx="1043">
                  <c:v>3161.4540000000002</c:v>
                </c:pt>
                <c:pt idx="1044">
                  <c:v>11394.065549999999</c:v>
                </c:pt>
                <c:pt idx="1045">
                  <c:v>21880.82</c:v>
                </c:pt>
                <c:pt idx="1046">
                  <c:v>7325.0482000000002</c:v>
                </c:pt>
                <c:pt idx="1047">
                  <c:v>44501.398200000003</c:v>
                </c:pt>
                <c:pt idx="1048">
                  <c:v>3594.17085</c:v>
                </c:pt>
                <c:pt idx="1049">
                  <c:v>39727.614000000001</c:v>
                </c:pt>
                <c:pt idx="1050">
                  <c:v>8023.1354499999998</c:v>
                </c:pt>
                <c:pt idx="1051">
                  <c:v>14394.5579</c:v>
                </c:pt>
                <c:pt idx="1052">
                  <c:v>9288.0267000000003</c:v>
                </c:pt>
                <c:pt idx="1053">
                  <c:v>25309.489000000001</c:v>
                </c:pt>
                <c:pt idx="1054">
                  <c:v>3353.4703</c:v>
                </c:pt>
                <c:pt idx="1055">
                  <c:v>10594.501550000001</c:v>
                </c:pt>
                <c:pt idx="1056">
                  <c:v>8277.5229999999992</c:v>
                </c:pt>
                <c:pt idx="1057">
                  <c:v>17929.303370000001</c:v>
                </c:pt>
                <c:pt idx="1058">
                  <c:v>2480.9791</c:v>
                </c:pt>
                <c:pt idx="1059">
                  <c:v>4462.7218000000003</c:v>
                </c:pt>
                <c:pt idx="1060">
                  <c:v>1981.5818999999999</c:v>
                </c:pt>
                <c:pt idx="1061">
                  <c:v>11554.223599999999</c:v>
                </c:pt>
                <c:pt idx="1062">
                  <c:v>48970.247600000002</c:v>
                </c:pt>
                <c:pt idx="1063">
                  <c:v>6548.1950500000003</c:v>
                </c:pt>
                <c:pt idx="1064">
                  <c:v>5708.8670000000002</c:v>
                </c:pt>
                <c:pt idx="1065">
                  <c:v>7045.4989999999998</c:v>
                </c:pt>
                <c:pt idx="1066">
                  <c:v>8978.1851000000006</c:v>
                </c:pt>
                <c:pt idx="1067">
                  <c:v>5757.41345</c:v>
                </c:pt>
                <c:pt idx="1068">
                  <c:v>14349.8544</c:v>
                </c:pt>
                <c:pt idx="1069">
                  <c:v>10928.849</c:v>
                </c:pt>
                <c:pt idx="1070">
                  <c:v>39871.704299999998</c:v>
                </c:pt>
                <c:pt idx="1071">
                  <c:v>13974.455550000001</c:v>
                </c:pt>
                <c:pt idx="1072">
                  <c:v>1909.52745</c:v>
                </c:pt>
                <c:pt idx="1073">
                  <c:v>12096.6512</c:v>
                </c:pt>
                <c:pt idx="1074">
                  <c:v>13204.28565</c:v>
                </c:pt>
                <c:pt idx="1075">
                  <c:v>4562.8420999999998</c:v>
                </c:pt>
                <c:pt idx="1076">
                  <c:v>8551.3469999999998</c:v>
                </c:pt>
                <c:pt idx="1077">
                  <c:v>2102.2647000000002</c:v>
                </c:pt>
                <c:pt idx="1078">
                  <c:v>34672.147199999999</c:v>
                </c:pt>
                <c:pt idx="1079">
                  <c:v>15161.5344</c:v>
                </c:pt>
                <c:pt idx="1080">
                  <c:v>11884.048580000001</c:v>
                </c:pt>
                <c:pt idx="1081">
                  <c:v>4454.40265</c:v>
                </c:pt>
                <c:pt idx="1082">
                  <c:v>5855.9025000000001</c:v>
                </c:pt>
                <c:pt idx="1083">
                  <c:v>4076.4969999999998</c:v>
                </c:pt>
                <c:pt idx="1084">
                  <c:v>15019.760050000001</c:v>
                </c:pt>
                <c:pt idx="1085">
                  <c:v>19023.259999999998</c:v>
                </c:pt>
                <c:pt idx="1086">
                  <c:v>10796.35025</c:v>
                </c:pt>
                <c:pt idx="1087">
                  <c:v>11353.2276</c:v>
                </c:pt>
                <c:pt idx="1088">
                  <c:v>9748.9105999999992</c:v>
                </c:pt>
                <c:pt idx="1089">
                  <c:v>10577.087</c:v>
                </c:pt>
                <c:pt idx="1090">
                  <c:v>41676.081100000003</c:v>
                </c:pt>
                <c:pt idx="1091">
                  <c:v>11286.538699999999</c:v>
                </c:pt>
                <c:pt idx="1092">
                  <c:v>3591.48</c:v>
                </c:pt>
                <c:pt idx="1093">
                  <c:v>33907.548000000003</c:v>
                </c:pt>
                <c:pt idx="1094">
                  <c:v>11299.343000000001</c:v>
                </c:pt>
                <c:pt idx="1095">
                  <c:v>4561.1885000000002</c:v>
                </c:pt>
                <c:pt idx="1096">
                  <c:v>44641.197399999997</c:v>
                </c:pt>
                <c:pt idx="1097">
                  <c:v>1674.6323</c:v>
                </c:pt>
                <c:pt idx="1098">
                  <c:v>23045.566159999998</c:v>
                </c:pt>
                <c:pt idx="1099">
                  <c:v>3227.1210999999998</c:v>
                </c:pt>
                <c:pt idx="1100">
                  <c:v>16776.304049999999</c:v>
                </c:pt>
                <c:pt idx="1101">
                  <c:v>11253.421</c:v>
                </c:pt>
                <c:pt idx="1102">
                  <c:v>3471.4096</c:v>
                </c:pt>
                <c:pt idx="1103">
                  <c:v>11363.2832</c:v>
                </c:pt>
                <c:pt idx="1104">
                  <c:v>20420.604650000001</c:v>
                </c:pt>
                <c:pt idx="1105">
                  <c:v>10338.9316</c:v>
                </c:pt>
                <c:pt idx="1106">
                  <c:v>8988.1587500000005</c:v>
                </c:pt>
                <c:pt idx="1107">
                  <c:v>10493.9458</c:v>
                </c:pt>
                <c:pt idx="1108">
                  <c:v>2904.0880000000002</c:v>
                </c:pt>
                <c:pt idx="1109">
                  <c:v>8605.3615000000009</c:v>
                </c:pt>
                <c:pt idx="1110">
                  <c:v>11512.405000000001</c:v>
                </c:pt>
                <c:pt idx="1111">
                  <c:v>41949.244100000004</c:v>
                </c:pt>
                <c:pt idx="1112">
                  <c:v>24180.933499999999</c:v>
                </c:pt>
                <c:pt idx="1113">
                  <c:v>5312.1698500000002</c:v>
                </c:pt>
                <c:pt idx="1114">
                  <c:v>2396.0958999999998</c:v>
                </c:pt>
                <c:pt idx="1115">
                  <c:v>10807.4863</c:v>
                </c:pt>
                <c:pt idx="1116">
                  <c:v>9222.4025999999994</c:v>
                </c:pt>
                <c:pt idx="1117">
                  <c:v>36124.573700000001</c:v>
                </c:pt>
                <c:pt idx="1118">
                  <c:v>38282.749499999998</c:v>
                </c:pt>
                <c:pt idx="1119">
                  <c:v>5693.4305000000004</c:v>
                </c:pt>
                <c:pt idx="1120">
                  <c:v>34166.273000000001</c:v>
                </c:pt>
                <c:pt idx="1121">
                  <c:v>8347.1643000000004</c:v>
                </c:pt>
                <c:pt idx="1122">
                  <c:v>46661.4424</c:v>
                </c:pt>
                <c:pt idx="1123">
                  <c:v>18903.491409999999</c:v>
                </c:pt>
                <c:pt idx="1124">
                  <c:v>40904.199500000002</c:v>
                </c:pt>
                <c:pt idx="1125">
                  <c:v>14254.608200000001</c:v>
                </c:pt>
                <c:pt idx="1126">
                  <c:v>10214.636</c:v>
                </c:pt>
                <c:pt idx="1127">
                  <c:v>5836.5204000000003</c:v>
                </c:pt>
                <c:pt idx="1128">
                  <c:v>14358.364369999999</c:v>
                </c:pt>
                <c:pt idx="1129">
                  <c:v>1728.8969999999999</c:v>
                </c:pt>
                <c:pt idx="1130">
                  <c:v>8582.3022999999994</c:v>
                </c:pt>
                <c:pt idx="1131">
                  <c:v>3693.4279999999999</c:v>
                </c:pt>
                <c:pt idx="1132">
                  <c:v>20709.020339999999</c:v>
                </c:pt>
                <c:pt idx="1133">
                  <c:v>9991.0376500000002</c:v>
                </c:pt>
                <c:pt idx="1134">
                  <c:v>19673.335729999999</c:v>
                </c:pt>
                <c:pt idx="1135">
                  <c:v>11085.586799999999</c:v>
                </c:pt>
                <c:pt idx="1136">
                  <c:v>7623.518</c:v>
                </c:pt>
                <c:pt idx="1137">
                  <c:v>3176.2876999999999</c:v>
                </c:pt>
                <c:pt idx="1138">
                  <c:v>3704.3544999999999</c:v>
                </c:pt>
                <c:pt idx="1139">
                  <c:v>36898.733079999998</c:v>
                </c:pt>
                <c:pt idx="1140">
                  <c:v>9048.0272999999997</c:v>
                </c:pt>
                <c:pt idx="1141">
                  <c:v>7954.5169999999998</c:v>
                </c:pt>
                <c:pt idx="1142">
                  <c:v>27117.993780000001</c:v>
                </c:pt>
                <c:pt idx="1143">
                  <c:v>6338.0756000000001</c:v>
                </c:pt>
                <c:pt idx="1144">
                  <c:v>9630.3970000000008</c:v>
                </c:pt>
                <c:pt idx="1145">
                  <c:v>11289.10925</c:v>
                </c:pt>
                <c:pt idx="1146">
                  <c:v>52590.829389999999</c:v>
                </c:pt>
                <c:pt idx="1147">
                  <c:v>2261.5688</c:v>
                </c:pt>
                <c:pt idx="1148">
                  <c:v>10791.96</c:v>
                </c:pt>
                <c:pt idx="1149">
                  <c:v>5979.7309999999998</c:v>
                </c:pt>
                <c:pt idx="1150">
                  <c:v>2203.7359499999998</c:v>
                </c:pt>
                <c:pt idx="1151">
                  <c:v>12235.8392</c:v>
                </c:pt>
                <c:pt idx="1152">
                  <c:v>40941.285400000001</c:v>
                </c:pt>
                <c:pt idx="1153">
                  <c:v>5630.4578499999998</c:v>
                </c:pt>
                <c:pt idx="1154">
                  <c:v>11015.1747</c:v>
                </c:pt>
                <c:pt idx="1155">
                  <c:v>7228.2156500000001</c:v>
                </c:pt>
                <c:pt idx="1156">
                  <c:v>39722.746200000001</c:v>
                </c:pt>
                <c:pt idx="1157">
                  <c:v>14426.073850000001</c:v>
                </c:pt>
                <c:pt idx="1158">
                  <c:v>2459.7201</c:v>
                </c:pt>
                <c:pt idx="1159">
                  <c:v>3989.8409999999999</c:v>
                </c:pt>
                <c:pt idx="1160">
                  <c:v>7727.2532000000001</c:v>
                </c:pt>
                <c:pt idx="1161">
                  <c:v>5124.1886999999997</c:v>
                </c:pt>
                <c:pt idx="1162">
                  <c:v>18963.171920000001</c:v>
                </c:pt>
                <c:pt idx="1163">
                  <c:v>2200.8308499999998</c:v>
                </c:pt>
                <c:pt idx="1164">
                  <c:v>7153.5538999999999</c:v>
                </c:pt>
                <c:pt idx="1165">
                  <c:v>5227.9887500000004</c:v>
                </c:pt>
                <c:pt idx="1166">
                  <c:v>10982.5013</c:v>
                </c:pt>
                <c:pt idx="1167">
                  <c:v>4529.4769999999999</c:v>
                </c:pt>
                <c:pt idx="1168">
                  <c:v>4670.6400000000003</c:v>
                </c:pt>
                <c:pt idx="1169">
                  <c:v>6112.3529500000004</c:v>
                </c:pt>
                <c:pt idx="1170">
                  <c:v>17178.682400000002</c:v>
                </c:pt>
                <c:pt idx="1171">
                  <c:v>22478.6</c:v>
                </c:pt>
                <c:pt idx="1172">
                  <c:v>11093.6229</c:v>
                </c:pt>
                <c:pt idx="1173">
                  <c:v>6457.8433999999997</c:v>
                </c:pt>
                <c:pt idx="1174">
                  <c:v>4433.9159</c:v>
                </c:pt>
                <c:pt idx="1175">
                  <c:v>2154.3609999999999</c:v>
                </c:pt>
                <c:pt idx="1176">
                  <c:v>23887.662700000001</c:v>
                </c:pt>
                <c:pt idx="1177">
                  <c:v>6496.8860000000004</c:v>
                </c:pt>
                <c:pt idx="1178">
                  <c:v>2899.4893499999998</c:v>
                </c:pt>
                <c:pt idx="1179">
                  <c:v>19350.368900000001</c:v>
                </c:pt>
                <c:pt idx="1180">
                  <c:v>7650.7737500000003</c:v>
                </c:pt>
                <c:pt idx="1181">
                  <c:v>2850.6837500000001</c:v>
                </c:pt>
                <c:pt idx="1182">
                  <c:v>2632.9920000000002</c:v>
                </c:pt>
                <c:pt idx="1183">
                  <c:v>9447.3824000000004</c:v>
                </c:pt>
                <c:pt idx="1184">
                  <c:v>18328.238099999999</c:v>
                </c:pt>
                <c:pt idx="1185">
                  <c:v>8603.8233999999993</c:v>
                </c:pt>
                <c:pt idx="1186">
                  <c:v>37465.34375</c:v>
                </c:pt>
                <c:pt idx="1187">
                  <c:v>13844.797200000001</c:v>
                </c:pt>
                <c:pt idx="1188">
                  <c:v>21771.3423</c:v>
                </c:pt>
                <c:pt idx="1189">
                  <c:v>13126.677449999999</c:v>
                </c:pt>
                <c:pt idx="1190">
                  <c:v>5327.4002499999997</c:v>
                </c:pt>
                <c:pt idx="1191">
                  <c:v>13725.47184</c:v>
                </c:pt>
                <c:pt idx="1192">
                  <c:v>13019.161050000001</c:v>
                </c:pt>
                <c:pt idx="1193">
                  <c:v>8671.1912499999999</c:v>
                </c:pt>
                <c:pt idx="1194">
                  <c:v>4134.0824499999999</c:v>
                </c:pt>
                <c:pt idx="1195">
                  <c:v>18838.703659999999</c:v>
                </c:pt>
                <c:pt idx="1196">
                  <c:v>33307.550799999997</c:v>
                </c:pt>
                <c:pt idx="1197">
                  <c:v>5699.8374999999996</c:v>
                </c:pt>
                <c:pt idx="1198">
                  <c:v>6393.6034499999996</c:v>
                </c:pt>
                <c:pt idx="1199">
                  <c:v>4934.7049999999999</c:v>
                </c:pt>
                <c:pt idx="1200">
                  <c:v>6198.7518</c:v>
                </c:pt>
                <c:pt idx="1201">
                  <c:v>8733.2292500000003</c:v>
                </c:pt>
                <c:pt idx="1202">
                  <c:v>2055.3249000000001</c:v>
                </c:pt>
                <c:pt idx="1203">
                  <c:v>9964.06</c:v>
                </c:pt>
                <c:pt idx="1204">
                  <c:v>18223.4512</c:v>
                </c:pt>
                <c:pt idx="1205">
                  <c:v>5116.5003999999999</c:v>
                </c:pt>
                <c:pt idx="1206">
                  <c:v>36910.608030000003</c:v>
                </c:pt>
                <c:pt idx="1207">
                  <c:v>38415.474000000002</c:v>
                </c:pt>
                <c:pt idx="1208">
                  <c:v>20296.863450000001</c:v>
                </c:pt>
                <c:pt idx="1209">
                  <c:v>12347.172</c:v>
                </c:pt>
                <c:pt idx="1210">
                  <c:v>5373.3642499999996</c:v>
                </c:pt>
                <c:pt idx="1211">
                  <c:v>23563.016179999999</c:v>
                </c:pt>
                <c:pt idx="1212">
                  <c:v>1702.4553000000001</c:v>
                </c:pt>
                <c:pt idx="1213">
                  <c:v>10806.839</c:v>
                </c:pt>
                <c:pt idx="1214">
                  <c:v>3956.0714499999999</c:v>
                </c:pt>
                <c:pt idx="1215">
                  <c:v>12890.057650000001</c:v>
                </c:pt>
                <c:pt idx="1216">
                  <c:v>5415.6611999999996</c:v>
                </c:pt>
                <c:pt idx="1217">
                  <c:v>4058.1161000000002</c:v>
                </c:pt>
                <c:pt idx="1218">
                  <c:v>41661.601999999999</c:v>
                </c:pt>
                <c:pt idx="1219">
                  <c:v>7537.1638999999996</c:v>
                </c:pt>
                <c:pt idx="1220">
                  <c:v>4718.2035500000002</c:v>
                </c:pt>
                <c:pt idx="1221">
                  <c:v>6593.5083000000004</c:v>
                </c:pt>
                <c:pt idx="1222">
                  <c:v>8442.6669999999995</c:v>
                </c:pt>
                <c:pt idx="1223">
                  <c:v>26125.674770000001</c:v>
                </c:pt>
                <c:pt idx="1224">
                  <c:v>6858.4795999999997</c:v>
                </c:pt>
                <c:pt idx="1225">
                  <c:v>4795.6567999999997</c:v>
                </c:pt>
                <c:pt idx="1226">
                  <c:v>6640.5448500000002</c:v>
                </c:pt>
                <c:pt idx="1227">
                  <c:v>7162.0122000000001</c:v>
                </c:pt>
                <c:pt idx="1228">
                  <c:v>10594.225700000001</c:v>
                </c:pt>
                <c:pt idx="1229">
                  <c:v>11938.255950000001</c:v>
                </c:pt>
                <c:pt idx="1230">
                  <c:v>60021.398970000002</c:v>
                </c:pt>
                <c:pt idx="1231">
                  <c:v>20167.336029999999</c:v>
                </c:pt>
                <c:pt idx="1232">
                  <c:v>12479.70895</c:v>
                </c:pt>
                <c:pt idx="1233">
                  <c:v>11345.519</c:v>
                </c:pt>
                <c:pt idx="1234">
                  <c:v>8515.7587000000003</c:v>
                </c:pt>
                <c:pt idx="1235">
                  <c:v>2699.56835</c:v>
                </c:pt>
                <c:pt idx="1236">
                  <c:v>14449.8544</c:v>
                </c:pt>
                <c:pt idx="1237">
                  <c:v>12224.350850000001</c:v>
                </c:pt>
                <c:pt idx="1238">
                  <c:v>6985.50695</c:v>
                </c:pt>
                <c:pt idx="1239">
                  <c:v>3238.4357</c:v>
                </c:pt>
                <c:pt idx="1240">
                  <c:v>47269.853999999999</c:v>
                </c:pt>
                <c:pt idx="1241">
                  <c:v>49577.662400000001</c:v>
                </c:pt>
                <c:pt idx="1242">
                  <c:v>4296.2712000000001</c:v>
                </c:pt>
                <c:pt idx="1243">
                  <c:v>3171.6149</c:v>
                </c:pt>
                <c:pt idx="1244">
                  <c:v>1135.9407000000001</c:v>
                </c:pt>
                <c:pt idx="1245">
                  <c:v>5615.3689999999997</c:v>
                </c:pt>
                <c:pt idx="1246">
                  <c:v>9101.7980000000007</c:v>
                </c:pt>
                <c:pt idx="1247">
                  <c:v>6059.1729999999998</c:v>
                </c:pt>
                <c:pt idx="1248">
                  <c:v>1633.9618</c:v>
                </c:pt>
                <c:pt idx="1249">
                  <c:v>37607.527699999999</c:v>
                </c:pt>
                <c:pt idx="1250">
                  <c:v>18648.421699999999</c:v>
                </c:pt>
                <c:pt idx="1251">
                  <c:v>1241.5650000000001</c:v>
                </c:pt>
                <c:pt idx="1252">
                  <c:v>16232.847</c:v>
                </c:pt>
                <c:pt idx="1253">
                  <c:v>15828.82173</c:v>
                </c:pt>
                <c:pt idx="1254">
                  <c:v>4415.1588000000002</c:v>
                </c:pt>
                <c:pt idx="1255">
                  <c:v>6474.0129999999999</c:v>
                </c:pt>
                <c:pt idx="1256">
                  <c:v>11436.738149999999</c:v>
                </c:pt>
                <c:pt idx="1257">
                  <c:v>11305.93455</c:v>
                </c:pt>
                <c:pt idx="1258">
                  <c:v>30063.580549999999</c:v>
                </c:pt>
                <c:pt idx="1259">
                  <c:v>10197.772199999999</c:v>
                </c:pt>
                <c:pt idx="1260">
                  <c:v>4544.2348000000002</c:v>
                </c:pt>
                <c:pt idx="1261">
                  <c:v>3277.1610000000001</c:v>
                </c:pt>
                <c:pt idx="1262">
                  <c:v>6770.1925000000001</c:v>
                </c:pt>
                <c:pt idx="1263">
                  <c:v>7337.7479999999996</c:v>
                </c:pt>
                <c:pt idx="1264">
                  <c:v>10370.912549999999</c:v>
                </c:pt>
                <c:pt idx="1265">
                  <c:v>26926.5144</c:v>
                </c:pt>
                <c:pt idx="1266">
                  <c:v>10704.47</c:v>
                </c:pt>
                <c:pt idx="1267">
                  <c:v>34254.053350000002</c:v>
                </c:pt>
                <c:pt idx="1268">
                  <c:v>1880.4870000000001</c:v>
                </c:pt>
                <c:pt idx="1269">
                  <c:v>8615.2999999999993</c:v>
                </c:pt>
                <c:pt idx="1270">
                  <c:v>3292.5298499999999</c:v>
                </c:pt>
                <c:pt idx="1271">
                  <c:v>3021.80915</c:v>
                </c:pt>
                <c:pt idx="1272">
                  <c:v>14478.33015</c:v>
                </c:pt>
                <c:pt idx="1273">
                  <c:v>4747.0528999999997</c:v>
                </c:pt>
                <c:pt idx="1274">
                  <c:v>17043.341400000001</c:v>
                </c:pt>
                <c:pt idx="1275">
                  <c:v>10959.33</c:v>
                </c:pt>
                <c:pt idx="1276">
                  <c:v>2741.9479999999999</c:v>
                </c:pt>
                <c:pt idx="1277">
                  <c:v>4357.0436499999996</c:v>
                </c:pt>
                <c:pt idx="1278">
                  <c:v>22462.043750000001</c:v>
                </c:pt>
                <c:pt idx="1279">
                  <c:v>4189.1130999999996</c:v>
                </c:pt>
                <c:pt idx="1280">
                  <c:v>8283.6807000000008</c:v>
                </c:pt>
                <c:pt idx="1281">
                  <c:v>24535.698550000001</c:v>
                </c:pt>
                <c:pt idx="1282">
                  <c:v>14283.4594</c:v>
                </c:pt>
                <c:pt idx="1283">
                  <c:v>1720.3536999999999</c:v>
                </c:pt>
                <c:pt idx="1284">
                  <c:v>47403.88</c:v>
                </c:pt>
                <c:pt idx="1285">
                  <c:v>8534.6718000000001</c:v>
                </c:pt>
                <c:pt idx="1286">
                  <c:v>3732.6251000000002</c:v>
                </c:pt>
                <c:pt idx="1287">
                  <c:v>5472.4489999999996</c:v>
                </c:pt>
                <c:pt idx="1288">
                  <c:v>38344.565999999999</c:v>
                </c:pt>
                <c:pt idx="1289">
                  <c:v>7147.4727999999996</c:v>
                </c:pt>
                <c:pt idx="1290">
                  <c:v>7133.9025000000001</c:v>
                </c:pt>
                <c:pt idx="1291">
                  <c:v>34828.654000000002</c:v>
                </c:pt>
                <c:pt idx="1292">
                  <c:v>1515.3449000000001</c:v>
                </c:pt>
                <c:pt idx="1293">
                  <c:v>9301.8935500000007</c:v>
                </c:pt>
                <c:pt idx="1294">
                  <c:v>11931.125249999999</c:v>
                </c:pt>
                <c:pt idx="1295">
                  <c:v>1964.78</c:v>
                </c:pt>
                <c:pt idx="1296">
                  <c:v>1708.9257500000001</c:v>
                </c:pt>
                <c:pt idx="1297">
                  <c:v>4340.4408999999996</c:v>
                </c:pt>
                <c:pt idx="1298">
                  <c:v>5261.4694499999996</c:v>
                </c:pt>
                <c:pt idx="1299">
                  <c:v>2710.8285500000002</c:v>
                </c:pt>
                <c:pt idx="1300">
                  <c:v>62592.873090000001</c:v>
                </c:pt>
                <c:pt idx="1301">
                  <c:v>46718.163249999998</c:v>
                </c:pt>
                <c:pt idx="1302">
                  <c:v>3208.7869999999998</c:v>
                </c:pt>
                <c:pt idx="1303">
                  <c:v>37829.724199999997</c:v>
                </c:pt>
                <c:pt idx="1304">
                  <c:v>21259.377949999998</c:v>
                </c:pt>
                <c:pt idx="1305">
                  <c:v>2464.6188000000002</c:v>
                </c:pt>
                <c:pt idx="1306">
                  <c:v>16115.3045</c:v>
                </c:pt>
                <c:pt idx="1307">
                  <c:v>21472.478800000001</c:v>
                </c:pt>
                <c:pt idx="1308">
                  <c:v>33900.652999999998</c:v>
                </c:pt>
                <c:pt idx="1309">
                  <c:v>6875.9610000000002</c:v>
                </c:pt>
                <c:pt idx="1310">
                  <c:v>6940.90985</c:v>
                </c:pt>
                <c:pt idx="1311">
                  <c:v>4571.4130500000001</c:v>
                </c:pt>
                <c:pt idx="1312">
                  <c:v>4536.259</c:v>
                </c:pt>
                <c:pt idx="1313">
                  <c:v>36397.576000000001</c:v>
                </c:pt>
                <c:pt idx="1314">
                  <c:v>18765.87545</c:v>
                </c:pt>
                <c:pt idx="1315">
                  <c:v>11272.331389999999</c:v>
                </c:pt>
                <c:pt idx="1316">
                  <c:v>1731.6769999999999</c:v>
                </c:pt>
                <c:pt idx="1317">
                  <c:v>1163.4627</c:v>
                </c:pt>
                <c:pt idx="1318">
                  <c:v>19496.71917</c:v>
                </c:pt>
                <c:pt idx="1319">
                  <c:v>7201.7008500000002</c:v>
                </c:pt>
                <c:pt idx="1320">
                  <c:v>5425.0233500000004</c:v>
                </c:pt>
                <c:pt idx="1321">
                  <c:v>28101.333050000001</c:v>
                </c:pt>
                <c:pt idx="1322">
                  <c:v>12981.3457</c:v>
                </c:pt>
                <c:pt idx="1323">
                  <c:v>43896.376300000004</c:v>
                </c:pt>
                <c:pt idx="1324">
                  <c:v>4239.8926499999998</c:v>
                </c:pt>
                <c:pt idx="1325">
                  <c:v>13143.336649999999</c:v>
                </c:pt>
                <c:pt idx="1326">
                  <c:v>7050.0213000000003</c:v>
                </c:pt>
                <c:pt idx="1327">
                  <c:v>9377.9046999999991</c:v>
                </c:pt>
                <c:pt idx="1328">
                  <c:v>22395.74424</c:v>
                </c:pt>
                <c:pt idx="1329">
                  <c:v>10325.206</c:v>
                </c:pt>
                <c:pt idx="1330">
                  <c:v>12629.1656</c:v>
                </c:pt>
                <c:pt idx="1331">
                  <c:v>10795.937330000001</c:v>
                </c:pt>
                <c:pt idx="1332">
                  <c:v>11411.684999999999</c:v>
                </c:pt>
                <c:pt idx="1333">
                  <c:v>10600.5483</c:v>
                </c:pt>
                <c:pt idx="1334">
                  <c:v>2205.9807999999998</c:v>
                </c:pt>
                <c:pt idx="1335">
                  <c:v>1629.8335</c:v>
                </c:pt>
                <c:pt idx="1336">
                  <c:v>2007.9449999999999</c:v>
                </c:pt>
                <c:pt idx="1337">
                  <c:v>29141.3603</c:v>
                </c:pt>
              </c:numCache>
            </c:numRef>
          </c:yVal>
          <c:smooth val="0"/>
          <c:extLst>
            <c:ext xmlns:c16="http://schemas.microsoft.com/office/drawing/2014/chart" uri="{C3380CC4-5D6E-409C-BE32-E72D297353CC}">
              <c16:uniqueId val="{00000000-15DA-4CFA-B891-D943B86842D2}"/>
            </c:ext>
          </c:extLst>
        </c:ser>
        <c:dLbls>
          <c:showLegendKey val="0"/>
          <c:showVal val="0"/>
          <c:showCatName val="0"/>
          <c:showSerName val="0"/>
          <c:showPercent val="0"/>
          <c:showBubbleSize val="0"/>
        </c:dLbls>
        <c:axId val="1537827552"/>
        <c:axId val="1537827072"/>
      </c:scatterChart>
      <c:valAx>
        <c:axId val="153782755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37827072"/>
        <c:crosses val="autoZero"/>
        <c:crossBetween val="midCat"/>
      </c:valAx>
      <c:valAx>
        <c:axId val="153782707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37827552"/>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[Mediacl Bmi Charges project.xlsx]MedicalAnalysis!PivotTable10</c:name>
    <c:fmtId val="5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Bmi Category Counting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MedicalAnalysis!$B$110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MedicalAnalysis!$A$111:$A$112</c:f>
              <c:strCache>
                <c:ptCount val="1"/>
                <c:pt idx="0">
                  <c:v>Obese</c:v>
                </c:pt>
              </c:strCache>
            </c:strRef>
          </c:cat>
          <c:val>
            <c:numRef>
              <c:f>MedicalAnalysis!$B$111:$B$112</c:f>
              <c:numCache>
                <c:formatCode>General</c:formatCode>
                <c:ptCount val="1"/>
                <c:pt idx="0">
                  <c:v>706</c:v>
                </c:pt>
              </c:numCache>
            </c:numRef>
          </c:val>
          <c:extLst>
            <c:ext xmlns:c16="http://schemas.microsoft.com/office/drawing/2014/chart" uri="{C3380CC4-5D6E-409C-BE32-E72D297353CC}">
              <c16:uniqueId val="{00000000-E91B-4861-B14D-A6D67DBF922A}"/>
            </c:ext>
          </c:extLst>
        </c:ser>
        <c:dLbls>
          <c:dLblPos val="outEnd"/>
          <c:showLegendKey val="0"/>
          <c:showVal val="1"/>
          <c:showCatName val="0"/>
          <c:showSerName val="0"/>
          <c:showPercent val="0"/>
          <c:showBubbleSize val="0"/>
        </c:dLbls>
        <c:gapWidth val="219"/>
        <c:overlap val="-27"/>
        <c:axId val="1830804208"/>
        <c:axId val="1830807088"/>
      </c:barChart>
      <c:catAx>
        <c:axId val="1830804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807088"/>
        <c:crosses val="autoZero"/>
        <c:auto val="1"/>
        <c:lblAlgn val="ctr"/>
        <c:lblOffset val="100"/>
        <c:noMultiLvlLbl val="0"/>
      </c:catAx>
      <c:valAx>
        <c:axId val="1830807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804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strRef>
              <c:f>'insurance (4)0---'!$H$1</c:f>
              <c:strCache>
                <c:ptCount val="1"/>
                <c:pt idx="0">
                  <c:v>charges</c:v>
                </c:pt>
              </c:strCache>
            </c:strRef>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xVal>
            <c:numRef>
              <c:f>'insurance (4)0---'!$C$2:$C$1339</c:f>
              <c:numCache>
                <c:formatCode>General</c:formatCode>
                <c:ptCount val="1338"/>
                <c:pt idx="0">
                  <c:v>27.9</c:v>
                </c:pt>
                <c:pt idx="1">
                  <c:v>33.770000000000003</c:v>
                </c:pt>
                <c:pt idx="2">
                  <c:v>33</c:v>
                </c:pt>
                <c:pt idx="3">
                  <c:v>22.704999999999998</c:v>
                </c:pt>
                <c:pt idx="4">
                  <c:v>28.88</c:v>
                </c:pt>
                <c:pt idx="5">
                  <c:v>25.74</c:v>
                </c:pt>
                <c:pt idx="6">
                  <c:v>33.44</c:v>
                </c:pt>
                <c:pt idx="7">
                  <c:v>27.74</c:v>
                </c:pt>
                <c:pt idx="8">
                  <c:v>29.83</c:v>
                </c:pt>
                <c:pt idx="9">
                  <c:v>25.84</c:v>
                </c:pt>
                <c:pt idx="10">
                  <c:v>26.22</c:v>
                </c:pt>
                <c:pt idx="11">
                  <c:v>26.29</c:v>
                </c:pt>
                <c:pt idx="12">
                  <c:v>34.4</c:v>
                </c:pt>
                <c:pt idx="13">
                  <c:v>39.82</c:v>
                </c:pt>
                <c:pt idx="14">
                  <c:v>42.13</c:v>
                </c:pt>
                <c:pt idx="15">
                  <c:v>24.6</c:v>
                </c:pt>
                <c:pt idx="16">
                  <c:v>30.78</c:v>
                </c:pt>
                <c:pt idx="17">
                  <c:v>23.844999999999999</c:v>
                </c:pt>
                <c:pt idx="18">
                  <c:v>40.299999999999997</c:v>
                </c:pt>
                <c:pt idx="19">
                  <c:v>18.399999999999999</c:v>
                </c:pt>
                <c:pt idx="20">
                  <c:v>36.005000000000003</c:v>
                </c:pt>
                <c:pt idx="21">
                  <c:v>32.4</c:v>
                </c:pt>
                <c:pt idx="22">
                  <c:v>34.1</c:v>
                </c:pt>
                <c:pt idx="23">
                  <c:v>31.92</c:v>
                </c:pt>
                <c:pt idx="24">
                  <c:v>28.024999999999999</c:v>
                </c:pt>
                <c:pt idx="25">
                  <c:v>27.72</c:v>
                </c:pt>
                <c:pt idx="26">
                  <c:v>23.085000000000001</c:v>
                </c:pt>
                <c:pt idx="27">
                  <c:v>32.774999999999999</c:v>
                </c:pt>
                <c:pt idx="28">
                  <c:v>17.385000000000002</c:v>
                </c:pt>
                <c:pt idx="29">
                  <c:v>36.299999999999997</c:v>
                </c:pt>
                <c:pt idx="30">
                  <c:v>35.6</c:v>
                </c:pt>
                <c:pt idx="31">
                  <c:v>26.315000000000001</c:v>
                </c:pt>
                <c:pt idx="32">
                  <c:v>28.6</c:v>
                </c:pt>
                <c:pt idx="33">
                  <c:v>28.31</c:v>
                </c:pt>
                <c:pt idx="34">
                  <c:v>15</c:v>
                </c:pt>
                <c:pt idx="35">
                  <c:v>20.425000000000001</c:v>
                </c:pt>
                <c:pt idx="36">
                  <c:v>32.965000000000003</c:v>
                </c:pt>
                <c:pt idx="37">
                  <c:v>20.8</c:v>
                </c:pt>
                <c:pt idx="38">
                  <c:v>36.67</c:v>
                </c:pt>
                <c:pt idx="39">
                  <c:v>39.9</c:v>
                </c:pt>
                <c:pt idx="40">
                  <c:v>26.6</c:v>
                </c:pt>
                <c:pt idx="41">
                  <c:v>36.630000000000003</c:v>
                </c:pt>
                <c:pt idx="42">
                  <c:v>21.78</c:v>
                </c:pt>
                <c:pt idx="43">
                  <c:v>30.8</c:v>
                </c:pt>
                <c:pt idx="44">
                  <c:v>37.049999999999997</c:v>
                </c:pt>
                <c:pt idx="45">
                  <c:v>37.299999999999997</c:v>
                </c:pt>
                <c:pt idx="46">
                  <c:v>38.664999999999999</c:v>
                </c:pt>
                <c:pt idx="47">
                  <c:v>34.770000000000003</c:v>
                </c:pt>
                <c:pt idx="48">
                  <c:v>24.53</c:v>
                </c:pt>
                <c:pt idx="49">
                  <c:v>35.200000000000003</c:v>
                </c:pt>
                <c:pt idx="50">
                  <c:v>35.625</c:v>
                </c:pt>
                <c:pt idx="51">
                  <c:v>33.630000000000003</c:v>
                </c:pt>
                <c:pt idx="52">
                  <c:v>28</c:v>
                </c:pt>
                <c:pt idx="53">
                  <c:v>34.43</c:v>
                </c:pt>
                <c:pt idx="54">
                  <c:v>28.69</c:v>
                </c:pt>
                <c:pt idx="55">
                  <c:v>36.954999999999998</c:v>
                </c:pt>
                <c:pt idx="56">
                  <c:v>31.824999999999999</c:v>
                </c:pt>
                <c:pt idx="57">
                  <c:v>31.68</c:v>
                </c:pt>
                <c:pt idx="58">
                  <c:v>22.88</c:v>
                </c:pt>
                <c:pt idx="59">
                  <c:v>37.335000000000001</c:v>
                </c:pt>
                <c:pt idx="60">
                  <c:v>27.36</c:v>
                </c:pt>
                <c:pt idx="61">
                  <c:v>33.659999999999997</c:v>
                </c:pt>
                <c:pt idx="62">
                  <c:v>24.7</c:v>
                </c:pt>
                <c:pt idx="63">
                  <c:v>25.934999999999999</c:v>
                </c:pt>
                <c:pt idx="64">
                  <c:v>22.42</c:v>
                </c:pt>
                <c:pt idx="65">
                  <c:v>28.9</c:v>
                </c:pt>
                <c:pt idx="66">
                  <c:v>39.1</c:v>
                </c:pt>
                <c:pt idx="67">
                  <c:v>26.315000000000001</c:v>
                </c:pt>
                <c:pt idx="68">
                  <c:v>36.19</c:v>
                </c:pt>
                <c:pt idx="69">
                  <c:v>23.98</c:v>
                </c:pt>
                <c:pt idx="70">
                  <c:v>24.75</c:v>
                </c:pt>
                <c:pt idx="71">
                  <c:v>28.5</c:v>
                </c:pt>
                <c:pt idx="72">
                  <c:v>28.1</c:v>
                </c:pt>
                <c:pt idx="73">
                  <c:v>32.01</c:v>
                </c:pt>
                <c:pt idx="74">
                  <c:v>27.4</c:v>
                </c:pt>
                <c:pt idx="75">
                  <c:v>34.01</c:v>
                </c:pt>
                <c:pt idx="76">
                  <c:v>29.59</c:v>
                </c:pt>
                <c:pt idx="77">
                  <c:v>35.53</c:v>
                </c:pt>
                <c:pt idx="78">
                  <c:v>39.805</c:v>
                </c:pt>
                <c:pt idx="79">
                  <c:v>32.965000000000003</c:v>
                </c:pt>
                <c:pt idx="80">
                  <c:v>26.885000000000002</c:v>
                </c:pt>
                <c:pt idx="81">
                  <c:v>38.284999999999997</c:v>
                </c:pt>
                <c:pt idx="82">
                  <c:v>37.619999999999997</c:v>
                </c:pt>
                <c:pt idx="83">
                  <c:v>41.23</c:v>
                </c:pt>
                <c:pt idx="84">
                  <c:v>34.799999999999997</c:v>
                </c:pt>
                <c:pt idx="85">
                  <c:v>22.895</c:v>
                </c:pt>
                <c:pt idx="86">
                  <c:v>31.16</c:v>
                </c:pt>
                <c:pt idx="87">
                  <c:v>27.2</c:v>
                </c:pt>
                <c:pt idx="88">
                  <c:v>27.74</c:v>
                </c:pt>
                <c:pt idx="89">
                  <c:v>26.98</c:v>
                </c:pt>
                <c:pt idx="90">
                  <c:v>39.49</c:v>
                </c:pt>
                <c:pt idx="91">
                  <c:v>24.795000000000002</c:v>
                </c:pt>
                <c:pt idx="92">
                  <c:v>29.83</c:v>
                </c:pt>
                <c:pt idx="93">
                  <c:v>34.770000000000003</c:v>
                </c:pt>
                <c:pt idx="94">
                  <c:v>31.3</c:v>
                </c:pt>
                <c:pt idx="95">
                  <c:v>37.619999999999997</c:v>
                </c:pt>
                <c:pt idx="96">
                  <c:v>30.8</c:v>
                </c:pt>
                <c:pt idx="97">
                  <c:v>38.28</c:v>
                </c:pt>
                <c:pt idx="98">
                  <c:v>19.95</c:v>
                </c:pt>
                <c:pt idx="99">
                  <c:v>19.3</c:v>
                </c:pt>
                <c:pt idx="100">
                  <c:v>31.6</c:v>
                </c:pt>
                <c:pt idx="101">
                  <c:v>25.46</c:v>
                </c:pt>
                <c:pt idx="102">
                  <c:v>30.114999999999998</c:v>
                </c:pt>
                <c:pt idx="103">
                  <c:v>29.92</c:v>
                </c:pt>
                <c:pt idx="104">
                  <c:v>27.5</c:v>
                </c:pt>
                <c:pt idx="105">
                  <c:v>28.024999999999999</c:v>
                </c:pt>
                <c:pt idx="106">
                  <c:v>28.4</c:v>
                </c:pt>
                <c:pt idx="107">
                  <c:v>30.875</c:v>
                </c:pt>
                <c:pt idx="108">
                  <c:v>27.94</c:v>
                </c:pt>
                <c:pt idx="109">
                  <c:v>35.090000000000003</c:v>
                </c:pt>
                <c:pt idx="110">
                  <c:v>33.630000000000003</c:v>
                </c:pt>
                <c:pt idx="111">
                  <c:v>29.7</c:v>
                </c:pt>
                <c:pt idx="112">
                  <c:v>30.8</c:v>
                </c:pt>
                <c:pt idx="113">
                  <c:v>35.72</c:v>
                </c:pt>
                <c:pt idx="114">
                  <c:v>32.204999999999998</c:v>
                </c:pt>
                <c:pt idx="115">
                  <c:v>28.594999999999999</c:v>
                </c:pt>
                <c:pt idx="116">
                  <c:v>49.06</c:v>
                </c:pt>
                <c:pt idx="117">
                  <c:v>27.94</c:v>
                </c:pt>
                <c:pt idx="118">
                  <c:v>27.17</c:v>
                </c:pt>
                <c:pt idx="119">
                  <c:v>23.37</c:v>
                </c:pt>
                <c:pt idx="120">
                  <c:v>37.1</c:v>
                </c:pt>
                <c:pt idx="121">
                  <c:v>23.75</c:v>
                </c:pt>
                <c:pt idx="122">
                  <c:v>28.975000000000001</c:v>
                </c:pt>
                <c:pt idx="123">
                  <c:v>31.35</c:v>
                </c:pt>
                <c:pt idx="124">
                  <c:v>33.914999999999999</c:v>
                </c:pt>
                <c:pt idx="125">
                  <c:v>28.785</c:v>
                </c:pt>
                <c:pt idx="126">
                  <c:v>28.3</c:v>
                </c:pt>
                <c:pt idx="127">
                  <c:v>37.4</c:v>
                </c:pt>
                <c:pt idx="128">
                  <c:v>17.765000000000001</c:v>
                </c:pt>
                <c:pt idx="129">
                  <c:v>34.700000000000003</c:v>
                </c:pt>
                <c:pt idx="130">
                  <c:v>26.504999999999999</c:v>
                </c:pt>
                <c:pt idx="131">
                  <c:v>22.04</c:v>
                </c:pt>
                <c:pt idx="132">
                  <c:v>35.9</c:v>
                </c:pt>
                <c:pt idx="133">
                  <c:v>25.555</c:v>
                </c:pt>
                <c:pt idx="134">
                  <c:v>28.785</c:v>
                </c:pt>
                <c:pt idx="135">
                  <c:v>28.05</c:v>
                </c:pt>
                <c:pt idx="136">
                  <c:v>34.1</c:v>
                </c:pt>
                <c:pt idx="137">
                  <c:v>25.175000000000001</c:v>
                </c:pt>
                <c:pt idx="138">
                  <c:v>31.9</c:v>
                </c:pt>
                <c:pt idx="139">
                  <c:v>36</c:v>
                </c:pt>
                <c:pt idx="140">
                  <c:v>22.42</c:v>
                </c:pt>
                <c:pt idx="141">
                  <c:v>32.49</c:v>
                </c:pt>
                <c:pt idx="142">
                  <c:v>25.3</c:v>
                </c:pt>
                <c:pt idx="143">
                  <c:v>29.734999999999999</c:v>
                </c:pt>
                <c:pt idx="144">
                  <c:v>28.69</c:v>
                </c:pt>
                <c:pt idx="145">
                  <c:v>38.83</c:v>
                </c:pt>
                <c:pt idx="146">
                  <c:v>30.495000000000001</c:v>
                </c:pt>
                <c:pt idx="147">
                  <c:v>37.729999999999997</c:v>
                </c:pt>
                <c:pt idx="148">
                  <c:v>37.43</c:v>
                </c:pt>
                <c:pt idx="149">
                  <c:v>28.4</c:v>
                </c:pt>
                <c:pt idx="150">
                  <c:v>24.13</c:v>
                </c:pt>
                <c:pt idx="151">
                  <c:v>29.7</c:v>
                </c:pt>
                <c:pt idx="152">
                  <c:v>37.145000000000003</c:v>
                </c:pt>
                <c:pt idx="153">
                  <c:v>23.37</c:v>
                </c:pt>
                <c:pt idx="154">
                  <c:v>25.46</c:v>
                </c:pt>
                <c:pt idx="155">
                  <c:v>39.520000000000003</c:v>
                </c:pt>
                <c:pt idx="156">
                  <c:v>24.42</c:v>
                </c:pt>
                <c:pt idx="157">
                  <c:v>25.175000000000001</c:v>
                </c:pt>
                <c:pt idx="158">
                  <c:v>35.53</c:v>
                </c:pt>
                <c:pt idx="159">
                  <c:v>27.83</c:v>
                </c:pt>
                <c:pt idx="160">
                  <c:v>26.6</c:v>
                </c:pt>
                <c:pt idx="161">
                  <c:v>36.85</c:v>
                </c:pt>
                <c:pt idx="162">
                  <c:v>39.6</c:v>
                </c:pt>
                <c:pt idx="163">
                  <c:v>29.8</c:v>
                </c:pt>
                <c:pt idx="164">
                  <c:v>29.64</c:v>
                </c:pt>
                <c:pt idx="165">
                  <c:v>28.215</c:v>
                </c:pt>
                <c:pt idx="166">
                  <c:v>37</c:v>
                </c:pt>
                <c:pt idx="167">
                  <c:v>33.155000000000001</c:v>
                </c:pt>
                <c:pt idx="168">
                  <c:v>31.824999999999999</c:v>
                </c:pt>
                <c:pt idx="169">
                  <c:v>18.905000000000001</c:v>
                </c:pt>
                <c:pt idx="170">
                  <c:v>41.47</c:v>
                </c:pt>
                <c:pt idx="171">
                  <c:v>30.3</c:v>
                </c:pt>
                <c:pt idx="172">
                  <c:v>15.96</c:v>
                </c:pt>
                <c:pt idx="173">
                  <c:v>34.799999999999997</c:v>
                </c:pt>
                <c:pt idx="174">
                  <c:v>33.344999999999999</c:v>
                </c:pt>
                <c:pt idx="175">
                  <c:v>37.700000000000003</c:v>
                </c:pt>
                <c:pt idx="176">
                  <c:v>27.835000000000001</c:v>
                </c:pt>
                <c:pt idx="177">
                  <c:v>29.2</c:v>
                </c:pt>
                <c:pt idx="178">
                  <c:v>28.9</c:v>
                </c:pt>
                <c:pt idx="179">
                  <c:v>33.155000000000001</c:v>
                </c:pt>
                <c:pt idx="180">
                  <c:v>28.594999999999999</c:v>
                </c:pt>
                <c:pt idx="181">
                  <c:v>38.28</c:v>
                </c:pt>
                <c:pt idx="182">
                  <c:v>19.95</c:v>
                </c:pt>
                <c:pt idx="183">
                  <c:v>26.41</c:v>
                </c:pt>
                <c:pt idx="184">
                  <c:v>30.69</c:v>
                </c:pt>
                <c:pt idx="185">
                  <c:v>41.895000000000003</c:v>
                </c:pt>
                <c:pt idx="186">
                  <c:v>29.92</c:v>
                </c:pt>
                <c:pt idx="187">
                  <c:v>30.9</c:v>
                </c:pt>
                <c:pt idx="188">
                  <c:v>32.200000000000003</c:v>
                </c:pt>
                <c:pt idx="189">
                  <c:v>32.11</c:v>
                </c:pt>
                <c:pt idx="190">
                  <c:v>31.57</c:v>
                </c:pt>
                <c:pt idx="191">
                  <c:v>26.2</c:v>
                </c:pt>
                <c:pt idx="192">
                  <c:v>25.74</c:v>
                </c:pt>
                <c:pt idx="193">
                  <c:v>26.6</c:v>
                </c:pt>
                <c:pt idx="194">
                  <c:v>34.43</c:v>
                </c:pt>
                <c:pt idx="195">
                  <c:v>30.59</c:v>
                </c:pt>
                <c:pt idx="196">
                  <c:v>32.799999999999997</c:v>
                </c:pt>
                <c:pt idx="197">
                  <c:v>28.6</c:v>
                </c:pt>
                <c:pt idx="198">
                  <c:v>18.05</c:v>
                </c:pt>
                <c:pt idx="199">
                  <c:v>39.33</c:v>
                </c:pt>
                <c:pt idx="200">
                  <c:v>32.11</c:v>
                </c:pt>
                <c:pt idx="201">
                  <c:v>32.229999999999997</c:v>
                </c:pt>
                <c:pt idx="202">
                  <c:v>24.035</c:v>
                </c:pt>
                <c:pt idx="203">
                  <c:v>36.08</c:v>
                </c:pt>
                <c:pt idx="204">
                  <c:v>22.3</c:v>
                </c:pt>
                <c:pt idx="205">
                  <c:v>28.88</c:v>
                </c:pt>
                <c:pt idx="206">
                  <c:v>26.4</c:v>
                </c:pt>
                <c:pt idx="207">
                  <c:v>27.74</c:v>
                </c:pt>
                <c:pt idx="208">
                  <c:v>31.8</c:v>
                </c:pt>
                <c:pt idx="209">
                  <c:v>41.23</c:v>
                </c:pt>
                <c:pt idx="210">
                  <c:v>33</c:v>
                </c:pt>
                <c:pt idx="211">
                  <c:v>30.875</c:v>
                </c:pt>
                <c:pt idx="212">
                  <c:v>28.5</c:v>
                </c:pt>
                <c:pt idx="213">
                  <c:v>26.73</c:v>
                </c:pt>
                <c:pt idx="214">
                  <c:v>30.9</c:v>
                </c:pt>
                <c:pt idx="215">
                  <c:v>37.1</c:v>
                </c:pt>
                <c:pt idx="216">
                  <c:v>26.6</c:v>
                </c:pt>
                <c:pt idx="217">
                  <c:v>23.1</c:v>
                </c:pt>
                <c:pt idx="218">
                  <c:v>29.92</c:v>
                </c:pt>
                <c:pt idx="219">
                  <c:v>23.21</c:v>
                </c:pt>
                <c:pt idx="220">
                  <c:v>33.700000000000003</c:v>
                </c:pt>
                <c:pt idx="221">
                  <c:v>33.25</c:v>
                </c:pt>
                <c:pt idx="222">
                  <c:v>30.8</c:v>
                </c:pt>
                <c:pt idx="223">
                  <c:v>34.799999999999997</c:v>
                </c:pt>
                <c:pt idx="224">
                  <c:v>24.64</c:v>
                </c:pt>
                <c:pt idx="225">
                  <c:v>33.880000000000003</c:v>
                </c:pt>
                <c:pt idx="226">
                  <c:v>38.06</c:v>
                </c:pt>
                <c:pt idx="227">
                  <c:v>41.91</c:v>
                </c:pt>
                <c:pt idx="228">
                  <c:v>31.635000000000002</c:v>
                </c:pt>
                <c:pt idx="229">
                  <c:v>25.46</c:v>
                </c:pt>
                <c:pt idx="230">
                  <c:v>36.195</c:v>
                </c:pt>
                <c:pt idx="231">
                  <c:v>27.83</c:v>
                </c:pt>
                <c:pt idx="232">
                  <c:v>17.8</c:v>
                </c:pt>
                <c:pt idx="233">
                  <c:v>27.5</c:v>
                </c:pt>
                <c:pt idx="234">
                  <c:v>24.51</c:v>
                </c:pt>
                <c:pt idx="235">
                  <c:v>22.22</c:v>
                </c:pt>
                <c:pt idx="236">
                  <c:v>26.73</c:v>
                </c:pt>
                <c:pt idx="237">
                  <c:v>38.39</c:v>
                </c:pt>
                <c:pt idx="238">
                  <c:v>29.07</c:v>
                </c:pt>
                <c:pt idx="239">
                  <c:v>38.06</c:v>
                </c:pt>
                <c:pt idx="240">
                  <c:v>36.67</c:v>
                </c:pt>
                <c:pt idx="241">
                  <c:v>22.135000000000002</c:v>
                </c:pt>
                <c:pt idx="242">
                  <c:v>26.8</c:v>
                </c:pt>
                <c:pt idx="243">
                  <c:v>35.299999999999997</c:v>
                </c:pt>
                <c:pt idx="244">
                  <c:v>27.74</c:v>
                </c:pt>
                <c:pt idx="245">
                  <c:v>30.02</c:v>
                </c:pt>
                <c:pt idx="246">
                  <c:v>38.06</c:v>
                </c:pt>
                <c:pt idx="247">
                  <c:v>35.86</c:v>
                </c:pt>
                <c:pt idx="248">
                  <c:v>20.9</c:v>
                </c:pt>
                <c:pt idx="249">
                  <c:v>28.975000000000001</c:v>
                </c:pt>
                <c:pt idx="250">
                  <c:v>17.29</c:v>
                </c:pt>
                <c:pt idx="251">
                  <c:v>32.200000000000003</c:v>
                </c:pt>
                <c:pt idx="252">
                  <c:v>34.21</c:v>
                </c:pt>
                <c:pt idx="253">
                  <c:v>30.3</c:v>
                </c:pt>
                <c:pt idx="254">
                  <c:v>31.824999999999999</c:v>
                </c:pt>
                <c:pt idx="255">
                  <c:v>25.364999999999998</c:v>
                </c:pt>
                <c:pt idx="256">
                  <c:v>33.630000000000003</c:v>
                </c:pt>
                <c:pt idx="257">
                  <c:v>40.15</c:v>
                </c:pt>
                <c:pt idx="258">
                  <c:v>24.414999999999999</c:v>
                </c:pt>
                <c:pt idx="259">
                  <c:v>31.92</c:v>
                </c:pt>
                <c:pt idx="260">
                  <c:v>25.2</c:v>
                </c:pt>
                <c:pt idx="261">
                  <c:v>26.84</c:v>
                </c:pt>
                <c:pt idx="262">
                  <c:v>24.32</c:v>
                </c:pt>
                <c:pt idx="263">
                  <c:v>36.954999999999998</c:v>
                </c:pt>
                <c:pt idx="264">
                  <c:v>38.06</c:v>
                </c:pt>
                <c:pt idx="265">
                  <c:v>42.35</c:v>
                </c:pt>
                <c:pt idx="266">
                  <c:v>19.8</c:v>
                </c:pt>
                <c:pt idx="267">
                  <c:v>32.395000000000003</c:v>
                </c:pt>
                <c:pt idx="268">
                  <c:v>30.2</c:v>
                </c:pt>
                <c:pt idx="269">
                  <c:v>25.84</c:v>
                </c:pt>
                <c:pt idx="270">
                  <c:v>29.37</c:v>
                </c:pt>
                <c:pt idx="271">
                  <c:v>34.200000000000003</c:v>
                </c:pt>
                <c:pt idx="272">
                  <c:v>37.049999999999997</c:v>
                </c:pt>
                <c:pt idx="273">
                  <c:v>27.454999999999998</c:v>
                </c:pt>
                <c:pt idx="274">
                  <c:v>27.55</c:v>
                </c:pt>
                <c:pt idx="275">
                  <c:v>26.6</c:v>
                </c:pt>
                <c:pt idx="276">
                  <c:v>20.614999999999998</c:v>
                </c:pt>
                <c:pt idx="277">
                  <c:v>24.3</c:v>
                </c:pt>
                <c:pt idx="278">
                  <c:v>31.79</c:v>
                </c:pt>
                <c:pt idx="279">
                  <c:v>21.56</c:v>
                </c:pt>
                <c:pt idx="280">
                  <c:v>28.12</c:v>
                </c:pt>
                <c:pt idx="281">
                  <c:v>40.564999999999998</c:v>
                </c:pt>
                <c:pt idx="282">
                  <c:v>27.645</c:v>
                </c:pt>
                <c:pt idx="283">
                  <c:v>32.395000000000003</c:v>
                </c:pt>
                <c:pt idx="284">
                  <c:v>31.2</c:v>
                </c:pt>
                <c:pt idx="285">
                  <c:v>26.62</c:v>
                </c:pt>
                <c:pt idx="286">
                  <c:v>48.07</c:v>
                </c:pt>
                <c:pt idx="287">
                  <c:v>26.22</c:v>
                </c:pt>
                <c:pt idx="288">
                  <c:v>36.765000000000001</c:v>
                </c:pt>
                <c:pt idx="289">
                  <c:v>26.4</c:v>
                </c:pt>
                <c:pt idx="290">
                  <c:v>33.4</c:v>
                </c:pt>
                <c:pt idx="291">
                  <c:v>29.64</c:v>
                </c:pt>
                <c:pt idx="292">
                  <c:v>45.54</c:v>
                </c:pt>
                <c:pt idx="293">
                  <c:v>28.82</c:v>
                </c:pt>
                <c:pt idx="294">
                  <c:v>26.8</c:v>
                </c:pt>
                <c:pt idx="295">
                  <c:v>22.99</c:v>
                </c:pt>
                <c:pt idx="296">
                  <c:v>27.7</c:v>
                </c:pt>
                <c:pt idx="297">
                  <c:v>25.41</c:v>
                </c:pt>
                <c:pt idx="298">
                  <c:v>34.39</c:v>
                </c:pt>
                <c:pt idx="299">
                  <c:v>28.88</c:v>
                </c:pt>
                <c:pt idx="300">
                  <c:v>27.55</c:v>
                </c:pt>
                <c:pt idx="301">
                  <c:v>22.61</c:v>
                </c:pt>
                <c:pt idx="302">
                  <c:v>37.51</c:v>
                </c:pt>
                <c:pt idx="303">
                  <c:v>33</c:v>
                </c:pt>
                <c:pt idx="304">
                  <c:v>38</c:v>
                </c:pt>
                <c:pt idx="305">
                  <c:v>33.344999999999999</c:v>
                </c:pt>
                <c:pt idx="306">
                  <c:v>27.5</c:v>
                </c:pt>
                <c:pt idx="307">
                  <c:v>33.33</c:v>
                </c:pt>
                <c:pt idx="308">
                  <c:v>34.865000000000002</c:v>
                </c:pt>
                <c:pt idx="309">
                  <c:v>33.06</c:v>
                </c:pt>
                <c:pt idx="310">
                  <c:v>26.6</c:v>
                </c:pt>
                <c:pt idx="311">
                  <c:v>24.7</c:v>
                </c:pt>
                <c:pt idx="312">
                  <c:v>35.97</c:v>
                </c:pt>
                <c:pt idx="313">
                  <c:v>35.86</c:v>
                </c:pt>
                <c:pt idx="314">
                  <c:v>31.4</c:v>
                </c:pt>
                <c:pt idx="315">
                  <c:v>33.25</c:v>
                </c:pt>
                <c:pt idx="316">
                  <c:v>32.204999999999998</c:v>
                </c:pt>
                <c:pt idx="317">
                  <c:v>32.774999999999999</c:v>
                </c:pt>
                <c:pt idx="318">
                  <c:v>27.645</c:v>
                </c:pt>
                <c:pt idx="319">
                  <c:v>37.335000000000001</c:v>
                </c:pt>
                <c:pt idx="320">
                  <c:v>25.27</c:v>
                </c:pt>
                <c:pt idx="321">
                  <c:v>29.64</c:v>
                </c:pt>
                <c:pt idx="322">
                  <c:v>30.8</c:v>
                </c:pt>
                <c:pt idx="323">
                  <c:v>40.945</c:v>
                </c:pt>
                <c:pt idx="324">
                  <c:v>27.2</c:v>
                </c:pt>
                <c:pt idx="325">
                  <c:v>34.104999999999997</c:v>
                </c:pt>
                <c:pt idx="326">
                  <c:v>23.21</c:v>
                </c:pt>
                <c:pt idx="327">
                  <c:v>36.479999999999997</c:v>
                </c:pt>
                <c:pt idx="328">
                  <c:v>33.799999999999997</c:v>
                </c:pt>
                <c:pt idx="329">
                  <c:v>36.700000000000003</c:v>
                </c:pt>
                <c:pt idx="330">
                  <c:v>36.384999999999998</c:v>
                </c:pt>
                <c:pt idx="331">
                  <c:v>27.36</c:v>
                </c:pt>
                <c:pt idx="332">
                  <c:v>31.16</c:v>
                </c:pt>
                <c:pt idx="333">
                  <c:v>28.785</c:v>
                </c:pt>
                <c:pt idx="334">
                  <c:v>35.72</c:v>
                </c:pt>
                <c:pt idx="335">
                  <c:v>34.5</c:v>
                </c:pt>
                <c:pt idx="336">
                  <c:v>25.74</c:v>
                </c:pt>
                <c:pt idx="337">
                  <c:v>27.55</c:v>
                </c:pt>
                <c:pt idx="338">
                  <c:v>32.299999999999997</c:v>
                </c:pt>
                <c:pt idx="339">
                  <c:v>27.72</c:v>
                </c:pt>
                <c:pt idx="340">
                  <c:v>27.6</c:v>
                </c:pt>
                <c:pt idx="341">
                  <c:v>30.02</c:v>
                </c:pt>
                <c:pt idx="342">
                  <c:v>27.55</c:v>
                </c:pt>
                <c:pt idx="343">
                  <c:v>36.765000000000001</c:v>
                </c:pt>
                <c:pt idx="344">
                  <c:v>41.47</c:v>
                </c:pt>
                <c:pt idx="345">
                  <c:v>29.26</c:v>
                </c:pt>
                <c:pt idx="346">
                  <c:v>35.75</c:v>
                </c:pt>
                <c:pt idx="347">
                  <c:v>33.344999999999999</c:v>
                </c:pt>
                <c:pt idx="348">
                  <c:v>29.92</c:v>
                </c:pt>
                <c:pt idx="349">
                  <c:v>27.835000000000001</c:v>
                </c:pt>
                <c:pt idx="350">
                  <c:v>23.18</c:v>
                </c:pt>
                <c:pt idx="351">
                  <c:v>25.6</c:v>
                </c:pt>
                <c:pt idx="352">
                  <c:v>27.7</c:v>
                </c:pt>
                <c:pt idx="353">
                  <c:v>35.244999999999997</c:v>
                </c:pt>
                <c:pt idx="354">
                  <c:v>38.28</c:v>
                </c:pt>
                <c:pt idx="355">
                  <c:v>27.6</c:v>
                </c:pt>
                <c:pt idx="356">
                  <c:v>43.89</c:v>
                </c:pt>
                <c:pt idx="357">
                  <c:v>29.83</c:v>
                </c:pt>
                <c:pt idx="358">
                  <c:v>41.91</c:v>
                </c:pt>
                <c:pt idx="359">
                  <c:v>20.79</c:v>
                </c:pt>
                <c:pt idx="360">
                  <c:v>32.299999999999997</c:v>
                </c:pt>
                <c:pt idx="361">
                  <c:v>30.5</c:v>
                </c:pt>
                <c:pt idx="362">
                  <c:v>21.7</c:v>
                </c:pt>
                <c:pt idx="363">
                  <c:v>26.4</c:v>
                </c:pt>
                <c:pt idx="364">
                  <c:v>21.89</c:v>
                </c:pt>
                <c:pt idx="365">
                  <c:v>30.78</c:v>
                </c:pt>
                <c:pt idx="366">
                  <c:v>32.299999999999997</c:v>
                </c:pt>
                <c:pt idx="367">
                  <c:v>24.984999999999999</c:v>
                </c:pt>
                <c:pt idx="368">
                  <c:v>32.015000000000001</c:v>
                </c:pt>
                <c:pt idx="369">
                  <c:v>30.4</c:v>
                </c:pt>
                <c:pt idx="370">
                  <c:v>21.09</c:v>
                </c:pt>
                <c:pt idx="371">
                  <c:v>22.23</c:v>
                </c:pt>
                <c:pt idx="372">
                  <c:v>33.155000000000001</c:v>
                </c:pt>
                <c:pt idx="373">
                  <c:v>32.9</c:v>
                </c:pt>
                <c:pt idx="374">
                  <c:v>33.33</c:v>
                </c:pt>
                <c:pt idx="375">
                  <c:v>28.31</c:v>
                </c:pt>
                <c:pt idx="376">
                  <c:v>24.89</c:v>
                </c:pt>
                <c:pt idx="377">
                  <c:v>40.15</c:v>
                </c:pt>
                <c:pt idx="378">
                  <c:v>30.114999999999998</c:v>
                </c:pt>
                <c:pt idx="379">
                  <c:v>31.46</c:v>
                </c:pt>
                <c:pt idx="380">
                  <c:v>17.954999999999998</c:v>
                </c:pt>
                <c:pt idx="381">
                  <c:v>30.684999999999999</c:v>
                </c:pt>
                <c:pt idx="382">
                  <c:v>33</c:v>
                </c:pt>
                <c:pt idx="383">
                  <c:v>43.34</c:v>
                </c:pt>
                <c:pt idx="384">
                  <c:v>22.135000000000002</c:v>
                </c:pt>
                <c:pt idx="385">
                  <c:v>34.4</c:v>
                </c:pt>
                <c:pt idx="386">
                  <c:v>39.049999999999997</c:v>
                </c:pt>
                <c:pt idx="387">
                  <c:v>25.364999999999998</c:v>
                </c:pt>
                <c:pt idx="388">
                  <c:v>22.61</c:v>
                </c:pt>
                <c:pt idx="389">
                  <c:v>30.21</c:v>
                </c:pt>
                <c:pt idx="390">
                  <c:v>35.625</c:v>
                </c:pt>
                <c:pt idx="391">
                  <c:v>37.43</c:v>
                </c:pt>
                <c:pt idx="392">
                  <c:v>31.445</c:v>
                </c:pt>
                <c:pt idx="393">
                  <c:v>31.35</c:v>
                </c:pt>
                <c:pt idx="394">
                  <c:v>32.299999999999997</c:v>
                </c:pt>
                <c:pt idx="395">
                  <c:v>19.855</c:v>
                </c:pt>
                <c:pt idx="396">
                  <c:v>34.4</c:v>
                </c:pt>
                <c:pt idx="397">
                  <c:v>31.02</c:v>
                </c:pt>
                <c:pt idx="398">
                  <c:v>25.6</c:v>
                </c:pt>
                <c:pt idx="399">
                  <c:v>38.17</c:v>
                </c:pt>
                <c:pt idx="400">
                  <c:v>20.6</c:v>
                </c:pt>
                <c:pt idx="401">
                  <c:v>47.52</c:v>
                </c:pt>
                <c:pt idx="402">
                  <c:v>32.965000000000003</c:v>
                </c:pt>
                <c:pt idx="403">
                  <c:v>32.299999999999997</c:v>
                </c:pt>
                <c:pt idx="404">
                  <c:v>20.399999999999999</c:v>
                </c:pt>
                <c:pt idx="405">
                  <c:v>38.380000000000003</c:v>
                </c:pt>
                <c:pt idx="406">
                  <c:v>24.31</c:v>
                </c:pt>
                <c:pt idx="407">
                  <c:v>23.6</c:v>
                </c:pt>
                <c:pt idx="408">
                  <c:v>21.12</c:v>
                </c:pt>
                <c:pt idx="409">
                  <c:v>30.03</c:v>
                </c:pt>
                <c:pt idx="410">
                  <c:v>17.48</c:v>
                </c:pt>
                <c:pt idx="411">
                  <c:v>20.234999999999999</c:v>
                </c:pt>
                <c:pt idx="412">
                  <c:v>17.195</c:v>
                </c:pt>
                <c:pt idx="413">
                  <c:v>23.9</c:v>
                </c:pt>
                <c:pt idx="414">
                  <c:v>35.15</c:v>
                </c:pt>
                <c:pt idx="415">
                  <c:v>35.64</c:v>
                </c:pt>
                <c:pt idx="416">
                  <c:v>34.1</c:v>
                </c:pt>
                <c:pt idx="417">
                  <c:v>22.6</c:v>
                </c:pt>
                <c:pt idx="418">
                  <c:v>39.159999999999997</c:v>
                </c:pt>
                <c:pt idx="419">
                  <c:v>26.98</c:v>
                </c:pt>
                <c:pt idx="420">
                  <c:v>33.880000000000003</c:v>
                </c:pt>
                <c:pt idx="421">
                  <c:v>35.86</c:v>
                </c:pt>
                <c:pt idx="422">
                  <c:v>32.774999999999999</c:v>
                </c:pt>
                <c:pt idx="423">
                  <c:v>30.59</c:v>
                </c:pt>
                <c:pt idx="424">
                  <c:v>30.2</c:v>
                </c:pt>
                <c:pt idx="425">
                  <c:v>24.31</c:v>
                </c:pt>
                <c:pt idx="426">
                  <c:v>27.265000000000001</c:v>
                </c:pt>
                <c:pt idx="427">
                  <c:v>29.164999999999999</c:v>
                </c:pt>
                <c:pt idx="428">
                  <c:v>16.815000000000001</c:v>
                </c:pt>
                <c:pt idx="429">
                  <c:v>30.4</c:v>
                </c:pt>
                <c:pt idx="430">
                  <c:v>33.1</c:v>
                </c:pt>
                <c:pt idx="431">
                  <c:v>20.234999999999999</c:v>
                </c:pt>
                <c:pt idx="432">
                  <c:v>26.9</c:v>
                </c:pt>
                <c:pt idx="433">
                  <c:v>30.5</c:v>
                </c:pt>
                <c:pt idx="434">
                  <c:v>28.594999999999999</c:v>
                </c:pt>
                <c:pt idx="435">
                  <c:v>33.11</c:v>
                </c:pt>
                <c:pt idx="436">
                  <c:v>31.73</c:v>
                </c:pt>
                <c:pt idx="437">
                  <c:v>28.9</c:v>
                </c:pt>
                <c:pt idx="438">
                  <c:v>46.75</c:v>
                </c:pt>
                <c:pt idx="439">
                  <c:v>29.45</c:v>
                </c:pt>
                <c:pt idx="440">
                  <c:v>32.68</c:v>
                </c:pt>
                <c:pt idx="441">
                  <c:v>33.5</c:v>
                </c:pt>
                <c:pt idx="442">
                  <c:v>43.01</c:v>
                </c:pt>
                <c:pt idx="443">
                  <c:v>36.520000000000003</c:v>
                </c:pt>
                <c:pt idx="444">
                  <c:v>26.695</c:v>
                </c:pt>
                <c:pt idx="445">
                  <c:v>33.1</c:v>
                </c:pt>
                <c:pt idx="446">
                  <c:v>29.64</c:v>
                </c:pt>
                <c:pt idx="447">
                  <c:v>25.65</c:v>
                </c:pt>
                <c:pt idx="448">
                  <c:v>29.6</c:v>
                </c:pt>
                <c:pt idx="449">
                  <c:v>38.6</c:v>
                </c:pt>
                <c:pt idx="450">
                  <c:v>29.6</c:v>
                </c:pt>
                <c:pt idx="451">
                  <c:v>24.13</c:v>
                </c:pt>
                <c:pt idx="452">
                  <c:v>23.4</c:v>
                </c:pt>
                <c:pt idx="453">
                  <c:v>29.734999999999999</c:v>
                </c:pt>
                <c:pt idx="454">
                  <c:v>46.53</c:v>
                </c:pt>
                <c:pt idx="455">
                  <c:v>37.4</c:v>
                </c:pt>
                <c:pt idx="456">
                  <c:v>30.14</c:v>
                </c:pt>
                <c:pt idx="457">
                  <c:v>30.495000000000001</c:v>
                </c:pt>
                <c:pt idx="458">
                  <c:v>39.6</c:v>
                </c:pt>
                <c:pt idx="459">
                  <c:v>33</c:v>
                </c:pt>
                <c:pt idx="460">
                  <c:v>36.630000000000003</c:v>
                </c:pt>
                <c:pt idx="461">
                  <c:v>30</c:v>
                </c:pt>
                <c:pt idx="462">
                  <c:v>38.094999999999999</c:v>
                </c:pt>
                <c:pt idx="463">
                  <c:v>25.934999999999999</c:v>
                </c:pt>
                <c:pt idx="464">
                  <c:v>25.175000000000001</c:v>
                </c:pt>
                <c:pt idx="465">
                  <c:v>28.38</c:v>
                </c:pt>
                <c:pt idx="466">
                  <c:v>28.7</c:v>
                </c:pt>
                <c:pt idx="467">
                  <c:v>33.82</c:v>
                </c:pt>
                <c:pt idx="468">
                  <c:v>24.32</c:v>
                </c:pt>
                <c:pt idx="469">
                  <c:v>24.09</c:v>
                </c:pt>
                <c:pt idx="470">
                  <c:v>32.67</c:v>
                </c:pt>
                <c:pt idx="471">
                  <c:v>30.114999999999998</c:v>
                </c:pt>
                <c:pt idx="472">
                  <c:v>29.8</c:v>
                </c:pt>
                <c:pt idx="473">
                  <c:v>33.344999999999999</c:v>
                </c:pt>
                <c:pt idx="474">
                  <c:v>25.1</c:v>
                </c:pt>
                <c:pt idx="475">
                  <c:v>28.31</c:v>
                </c:pt>
                <c:pt idx="476">
                  <c:v>28.5</c:v>
                </c:pt>
                <c:pt idx="477">
                  <c:v>35.625</c:v>
                </c:pt>
                <c:pt idx="478">
                  <c:v>36.85</c:v>
                </c:pt>
                <c:pt idx="479">
                  <c:v>32.56</c:v>
                </c:pt>
                <c:pt idx="480">
                  <c:v>41.325000000000003</c:v>
                </c:pt>
                <c:pt idx="481">
                  <c:v>37.51</c:v>
                </c:pt>
                <c:pt idx="482">
                  <c:v>31.35</c:v>
                </c:pt>
                <c:pt idx="483">
                  <c:v>39.5</c:v>
                </c:pt>
                <c:pt idx="484">
                  <c:v>34.299999999999997</c:v>
                </c:pt>
                <c:pt idx="485">
                  <c:v>31.065000000000001</c:v>
                </c:pt>
                <c:pt idx="486">
                  <c:v>21.47</c:v>
                </c:pt>
                <c:pt idx="487">
                  <c:v>28.7</c:v>
                </c:pt>
                <c:pt idx="488">
                  <c:v>38.06</c:v>
                </c:pt>
                <c:pt idx="489">
                  <c:v>31.16</c:v>
                </c:pt>
                <c:pt idx="490">
                  <c:v>32.9</c:v>
                </c:pt>
                <c:pt idx="491">
                  <c:v>25.08</c:v>
                </c:pt>
                <c:pt idx="492">
                  <c:v>25.08</c:v>
                </c:pt>
                <c:pt idx="493">
                  <c:v>43.4</c:v>
                </c:pt>
                <c:pt idx="494">
                  <c:v>25.7</c:v>
                </c:pt>
                <c:pt idx="495">
                  <c:v>27.93</c:v>
                </c:pt>
                <c:pt idx="496">
                  <c:v>23.6</c:v>
                </c:pt>
                <c:pt idx="497">
                  <c:v>28.7</c:v>
                </c:pt>
                <c:pt idx="498">
                  <c:v>23.98</c:v>
                </c:pt>
                <c:pt idx="499">
                  <c:v>39.200000000000003</c:v>
                </c:pt>
                <c:pt idx="500">
                  <c:v>34.4</c:v>
                </c:pt>
                <c:pt idx="501">
                  <c:v>26.03</c:v>
                </c:pt>
                <c:pt idx="502">
                  <c:v>23.21</c:v>
                </c:pt>
                <c:pt idx="503">
                  <c:v>30.25</c:v>
                </c:pt>
                <c:pt idx="504">
                  <c:v>28.93</c:v>
                </c:pt>
                <c:pt idx="505">
                  <c:v>30.875</c:v>
                </c:pt>
                <c:pt idx="506">
                  <c:v>31.35</c:v>
                </c:pt>
                <c:pt idx="507">
                  <c:v>23.75</c:v>
                </c:pt>
                <c:pt idx="508">
                  <c:v>25.27</c:v>
                </c:pt>
                <c:pt idx="509">
                  <c:v>28.7</c:v>
                </c:pt>
                <c:pt idx="510">
                  <c:v>32.11</c:v>
                </c:pt>
                <c:pt idx="511">
                  <c:v>33.659999999999997</c:v>
                </c:pt>
                <c:pt idx="512">
                  <c:v>22.42</c:v>
                </c:pt>
                <c:pt idx="513">
                  <c:v>30.4</c:v>
                </c:pt>
                <c:pt idx="514">
                  <c:v>28.3</c:v>
                </c:pt>
                <c:pt idx="515">
                  <c:v>35.700000000000003</c:v>
                </c:pt>
                <c:pt idx="516">
                  <c:v>35.31</c:v>
                </c:pt>
                <c:pt idx="517">
                  <c:v>30.495000000000001</c:v>
                </c:pt>
                <c:pt idx="518">
                  <c:v>31</c:v>
                </c:pt>
                <c:pt idx="519">
                  <c:v>30.875</c:v>
                </c:pt>
                <c:pt idx="520">
                  <c:v>27.36</c:v>
                </c:pt>
                <c:pt idx="521">
                  <c:v>44.22</c:v>
                </c:pt>
                <c:pt idx="522">
                  <c:v>33.914999999999999</c:v>
                </c:pt>
                <c:pt idx="523">
                  <c:v>37.729999999999997</c:v>
                </c:pt>
                <c:pt idx="524">
                  <c:v>26.07</c:v>
                </c:pt>
                <c:pt idx="525">
                  <c:v>33.880000000000003</c:v>
                </c:pt>
                <c:pt idx="526">
                  <c:v>30.59</c:v>
                </c:pt>
                <c:pt idx="527">
                  <c:v>25.8</c:v>
                </c:pt>
                <c:pt idx="528">
                  <c:v>39.424999999999997</c:v>
                </c:pt>
                <c:pt idx="529">
                  <c:v>25.46</c:v>
                </c:pt>
                <c:pt idx="530">
                  <c:v>42.13</c:v>
                </c:pt>
                <c:pt idx="531">
                  <c:v>31.73</c:v>
                </c:pt>
                <c:pt idx="532">
                  <c:v>29.7</c:v>
                </c:pt>
                <c:pt idx="533">
                  <c:v>36.19</c:v>
                </c:pt>
                <c:pt idx="534">
                  <c:v>40.479999999999997</c:v>
                </c:pt>
                <c:pt idx="535">
                  <c:v>28.024999999999999</c:v>
                </c:pt>
                <c:pt idx="536">
                  <c:v>38.9</c:v>
                </c:pt>
                <c:pt idx="537">
                  <c:v>30.2</c:v>
                </c:pt>
                <c:pt idx="538">
                  <c:v>28.05</c:v>
                </c:pt>
                <c:pt idx="539">
                  <c:v>31.35</c:v>
                </c:pt>
                <c:pt idx="540">
                  <c:v>38</c:v>
                </c:pt>
                <c:pt idx="541">
                  <c:v>31.79</c:v>
                </c:pt>
                <c:pt idx="542">
                  <c:v>36.299999999999997</c:v>
                </c:pt>
                <c:pt idx="543">
                  <c:v>47.41</c:v>
                </c:pt>
                <c:pt idx="544">
                  <c:v>30.21</c:v>
                </c:pt>
                <c:pt idx="545">
                  <c:v>25.84</c:v>
                </c:pt>
                <c:pt idx="546">
                  <c:v>35.435000000000002</c:v>
                </c:pt>
                <c:pt idx="547">
                  <c:v>46.7</c:v>
                </c:pt>
                <c:pt idx="548">
                  <c:v>28.594999999999999</c:v>
                </c:pt>
                <c:pt idx="549">
                  <c:v>46.2</c:v>
                </c:pt>
                <c:pt idx="550">
                  <c:v>30.8</c:v>
                </c:pt>
                <c:pt idx="551">
                  <c:v>28.93</c:v>
                </c:pt>
                <c:pt idx="552">
                  <c:v>21.4</c:v>
                </c:pt>
                <c:pt idx="553">
                  <c:v>31.73</c:v>
                </c:pt>
                <c:pt idx="554">
                  <c:v>41.325000000000003</c:v>
                </c:pt>
                <c:pt idx="555">
                  <c:v>23.8</c:v>
                </c:pt>
                <c:pt idx="556">
                  <c:v>33.44</c:v>
                </c:pt>
                <c:pt idx="557">
                  <c:v>34.21</c:v>
                </c:pt>
                <c:pt idx="558">
                  <c:v>34.104999999999997</c:v>
                </c:pt>
                <c:pt idx="559">
                  <c:v>35.53</c:v>
                </c:pt>
                <c:pt idx="560">
                  <c:v>19.95</c:v>
                </c:pt>
                <c:pt idx="561">
                  <c:v>32.68</c:v>
                </c:pt>
                <c:pt idx="562">
                  <c:v>30.5</c:v>
                </c:pt>
                <c:pt idx="563">
                  <c:v>44.77</c:v>
                </c:pt>
                <c:pt idx="564">
                  <c:v>32.119999999999997</c:v>
                </c:pt>
                <c:pt idx="565">
                  <c:v>30.495000000000001</c:v>
                </c:pt>
                <c:pt idx="566">
                  <c:v>40.564999999999998</c:v>
                </c:pt>
                <c:pt idx="567">
                  <c:v>30.59</c:v>
                </c:pt>
                <c:pt idx="568">
                  <c:v>31.9</c:v>
                </c:pt>
                <c:pt idx="569">
                  <c:v>40.564999999999998</c:v>
                </c:pt>
                <c:pt idx="570">
                  <c:v>29.1</c:v>
                </c:pt>
                <c:pt idx="571">
                  <c:v>37.29</c:v>
                </c:pt>
                <c:pt idx="572">
                  <c:v>43.12</c:v>
                </c:pt>
                <c:pt idx="573">
                  <c:v>36.86</c:v>
                </c:pt>
                <c:pt idx="574">
                  <c:v>34.295000000000002</c:v>
                </c:pt>
                <c:pt idx="575">
                  <c:v>27.17</c:v>
                </c:pt>
                <c:pt idx="576">
                  <c:v>26.84</c:v>
                </c:pt>
                <c:pt idx="577">
                  <c:v>38.094999999999999</c:v>
                </c:pt>
                <c:pt idx="578">
                  <c:v>30.2</c:v>
                </c:pt>
                <c:pt idx="579">
                  <c:v>23.465</c:v>
                </c:pt>
                <c:pt idx="580">
                  <c:v>25.46</c:v>
                </c:pt>
                <c:pt idx="581">
                  <c:v>30.59</c:v>
                </c:pt>
                <c:pt idx="582">
                  <c:v>45.43</c:v>
                </c:pt>
                <c:pt idx="583">
                  <c:v>23.65</c:v>
                </c:pt>
                <c:pt idx="584">
                  <c:v>20.7</c:v>
                </c:pt>
                <c:pt idx="585">
                  <c:v>28.27</c:v>
                </c:pt>
                <c:pt idx="586">
                  <c:v>20.234999999999999</c:v>
                </c:pt>
                <c:pt idx="587">
                  <c:v>30.21</c:v>
                </c:pt>
                <c:pt idx="588">
                  <c:v>35.909999999999997</c:v>
                </c:pt>
                <c:pt idx="589">
                  <c:v>30.69</c:v>
                </c:pt>
                <c:pt idx="590">
                  <c:v>29</c:v>
                </c:pt>
                <c:pt idx="591">
                  <c:v>19.57</c:v>
                </c:pt>
                <c:pt idx="592">
                  <c:v>31.13</c:v>
                </c:pt>
                <c:pt idx="593">
                  <c:v>21.85</c:v>
                </c:pt>
                <c:pt idx="594">
                  <c:v>40.26</c:v>
                </c:pt>
                <c:pt idx="595">
                  <c:v>33.725000000000001</c:v>
                </c:pt>
                <c:pt idx="596">
                  <c:v>29.48</c:v>
                </c:pt>
                <c:pt idx="597">
                  <c:v>33.25</c:v>
                </c:pt>
                <c:pt idx="598">
                  <c:v>32.6</c:v>
                </c:pt>
                <c:pt idx="599">
                  <c:v>37.524999999999999</c:v>
                </c:pt>
                <c:pt idx="600">
                  <c:v>39.159999999999997</c:v>
                </c:pt>
                <c:pt idx="601">
                  <c:v>31.635000000000002</c:v>
                </c:pt>
                <c:pt idx="602">
                  <c:v>25.3</c:v>
                </c:pt>
                <c:pt idx="603">
                  <c:v>39.049999999999997</c:v>
                </c:pt>
                <c:pt idx="604">
                  <c:v>28.31</c:v>
                </c:pt>
                <c:pt idx="605">
                  <c:v>34.1</c:v>
                </c:pt>
                <c:pt idx="606">
                  <c:v>25.175000000000001</c:v>
                </c:pt>
                <c:pt idx="607">
                  <c:v>23.655000000000001</c:v>
                </c:pt>
                <c:pt idx="608">
                  <c:v>26.98</c:v>
                </c:pt>
                <c:pt idx="609">
                  <c:v>37.799999999999997</c:v>
                </c:pt>
                <c:pt idx="610">
                  <c:v>29.37</c:v>
                </c:pt>
                <c:pt idx="611">
                  <c:v>34.799999999999997</c:v>
                </c:pt>
                <c:pt idx="612">
                  <c:v>33.155000000000001</c:v>
                </c:pt>
                <c:pt idx="613">
                  <c:v>19</c:v>
                </c:pt>
                <c:pt idx="614">
                  <c:v>33</c:v>
                </c:pt>
                <c:pt idx="615">
                  <c:v>36.630000000000003</c:v>
                </c:pt>
                <c:pt idx="616">
                  <c:v>28.594999999999999</c:v>
                </c:pt>
                <c:pt idx="617">
                  <c:v>25.6</c:v>
                </c:pt>
                <c:pt idx="618">
                  <c:v>33.11</c:v>
                </c:pt>
                <c:pt idx="619">
                  <c:v>37.1</c:v>
                </c:pt>
                <c:pt idx="620">
                  <c:v>31.4</c:v>
                </c:pt>
                <c:pt idx="621">
                  <c:v>34.1</c:v>
                </c:pt>
                <c:pt idx="622">
                  <c:v>21.3</c:v>
                </c:pt>
                <c:pt idx="623">
                  <c:v>33.534999999999997</c:v>
                </c:pt>
                <c:pt idx="624">
                  <c:v>28.785</c:v>
                </c:pt>
                <c:pt idx="625">
                  <c:v>26.03</c:v>
                </c:pt>
                <c:pt idx="626">
                  <c:v>28.88</c:v>
                </c:pt>
                <c:pt idx="627">
                  <c:v>42.46</c:v>
                </c:pt>
                <c:pt idx="628">
                  <c:v>38</c:v>
                </c:pt>
                <c:pt idx="629">
                  <c:v>38.950000000000003</c:v>
                </c:pt>
                <c:pt idx="630">
                  <c:v>36.1</c:v>
                </c:pt>
                <c:pt idx="631">
                  <c:v>29.3</c:v>
                </c:pt>
                <c:pt idx="632">
                  <c:v>35.53</c:v>
                </c:pt>
                <c:pt idx="633">
                  <c:v>22.704999999999998</c:v>
                </c:pt>
                <c:pt idx="634">
                  <c:v>39.700000000000003</c:v>
                </c:pt>
                <c:pt idx="635">
                  <c:v>38.19</c:v>
                </c:pt>
                <c:pt idx="636">
                  <c:v>24.51</c:v>
                </c:pt>
                <c:pt idx="637">
                  <c:v>38.094999999999999</c:v>
                </c:pt>
                <c:pt idx="638">
                  <c:v>26.41</c:v>
                </c:pt>
                <c:pt idx="639">
                  <c:v>33.659999999999997</c:v>
                </c:pt>
                <c:pt idx="640">
                  <c:v>42.4</c:v>
                </c:pt>
                <c:pt idx="641">
                  <c:v>28.31</c:v>
                </c:pt>
                <c:pt idx="642">
                  <c:v>33.914999999999999</c:v>
                </c:pt>
                <c:pt idx="643">
                  <c:v>34.96</c:v>
                </c:pt>
                <c:pt idx="644">
                  <c:v>35.31</c:v>
                </c:pt>
                <c:pt idx="645">
                  <c:v>30.78</c:v>
                </c:pt>
                <c:pt idx="646">
                  <c:v>26.22</c:v>
                </c:pt>
                <c:pt idx="647">
                  <c:v>23.37</c:v>
                </c:pt>
                <c:pt idx="648">
                  <c:v>28.5</c:v>
                </c:pt>
                <c:pt idx="649">
                  <c:v>32.965000000000003</c:v>
                </c:pt>
                <c:pt idx="650">
                  <c:v>42.68</c:v>
                </c:pt>
                <c:pt idx="651">
                  <c:v>39.6</c:v>
                </c:pt>
                <c:pt idx="652">
                  <c:v>31.13</c:v>
                </c:pt>
                <c:pt idx="653">
                  <c:v>36.299999999999997</c:v>
                </c:pt>
                <c:pt idx="654">
                  <c:v>35.200000000000003</c:v>
                </c:pt>
                <c:pt idx="655">
                  <c:v>25.3</c:v>
                </c:pt>
                <c:pt idx="656">
                  <c:v>42.4</c:v>
                </c:pt>
                <c:pt idx="657">
                  <c:v>33.155000000000001</c:v>
                </c:pt>
                <c:pt idx="658">
                  <c:v>35.909999999999997</c:v>
                </c:pt>
                <c:pt idx="659">
                  <c:v>28.785</c:v>
                </c:pt>
                <c:pt idx="660">
                  <c:v>46.53</c:v>
                </c:pt>
                <c:pt idx="661">
                  <c:v>23.98</c:v>
                </c:pt>
                <c:pt idx="662">
                  <c:v>31.54</c:v>
                </c:pt>
                <c:pt idx="663">
                  <c:v>33.659999999999997</c:v>
                </c:pt>
                <c:pt idx="664">
                  <c:v>22.99</c:v>
                </c:pt>
                <c:pt idx="665">
                  <c:v>38.06</c:v>
                </c:pt>
                <c:pt idx="666">
                  <c:v>28.7</c:v>
                </c:pt>
                <c:pt idx="667">
                  <c:v>32.774999999999999</c:v>
                </c:pt>
                <c:pt idx="668">
                  <c:v>32.015000000000001</c:v>
                </c:pt>
                <c:pt idx="669">
                  <c:v>29.81</c:v>
                </c:pt>
                <c:pt idx="670">
                  <c:v>31.57</c:v>
                </c:pt>
                <c:pt idx="671">
                  <c:v>31.16</c:v>
                </c:pt>
                <c:pt idx="672">
                  <c:v>29.7</c:v>
                </c:pt>
                <c:pt idx="673">
                  <c:v>31.02</c:v>
                </c:pt>
                <c:pt idx="674">
                  <c:v>43.89</c:v>
                </c:pt>
                <c:pt idx="675">
                  <c:v>21.375</c:v>
                </c:pt>
                <c:pt idx="676">
                  <c:v>40.81</c:v>
                </c:pt>
                <c:pt idx="677">
                  <c:v>31.35</c:v>
                </c:pt>
                <c:pt idx="678">
                  <c:v>36.1</c:v>
                </c:pt>
                <c:pt idx="679">
                  <c:v>23.18</c:v>
                </c:pt>
                <c:pt idx="680">
                  <c:v>17.399999999999999</c:v>
                </c:pt>
                <c:pt idx="681">
                  <c:v>20.3</c:v>
                </c:pt>
                <c:pt idx="682">
                  <c:v>35.299999999999997</c:v>
                </c:pt>
                <c:pt idx="683">
                  <c:v>24.32</c:v>
                </c:pt>
                <c:pt idx="684">
                  <c:v>18.5</c:v>
                </c:pt>
                <c:pt idx="685">
                  <c:v>26.41</c:v>
                </c:pt>
                <c:pt idx="686">
                  <c:v>26.125</c:v>
                </c:pt>
                <c:pt idx="687">
                  <c:v>41.69</c:v>
                </c:pt>
                <c:pt idx="688">
                  <c:v>24.1</c:v>
                </c:pt>
                <c:pt idx="689">
                  <c:v>31.13</c:v>
                </c:pt>
                <c:pt idx="690">
                  <c:v>27.36</c:v>
                </c:pt>
                <c:pt idx="691">
                  <c:v>36.200000000000003</c:v>
                </c:pt>
                <c:pt idx="692">
                  <c:v>32.395000000000003</c:v>
                </c:pt>
                <c:pt idx="693">
                  <c:v>23.655000000000001</c:v>
                </c:pt>
                <c:pt idx="694">
                  <c:v>34.799999999999997</c:v>
                </c:pt>
                <c:pt idx="695">
                  <c:v>40.185000000000002</c:v>
                </c:pt>
                <c:pt idx="696">
                  <c:v>32.299999999999997</c:v>
                </c:pt>
                <c:pt idx="697">
                  <c:v>35.75</c:v>
                </c:pt>
                <c:pt idx="698">
                  <c:v>33.725000000000001</c:v>
                </c:pt>
                <c:pt idx="699">
                  <c:v>39.270000000000003</c:v>
                </c:pt>
                <c:pt idx="700">
                  <c:v>34.869999999999997</c:v>
                </c:pt>
                <c:pt idx="701">
                  <c:v>44.744999999999997</c:v>
                </c:pt>
                <c:pt idx="702">
                  <c:v>41.47</c:v>
                </c:pt>
                <c:pt idx="703">
                  <c:v>26.41</c:v>
                </c:pt>
                <c:pt idx="704">
                  <c:v>29.545000000000002</c:v>
                </c:pt>
                <c:pt idx="705">
                  <c:v>32.9</c:v>
                </c:pt>
                <c:pt idx="706">
                  <c:v>38.06</c:v>
                </c:pt>
                <c:pt idx="707">
                  <c:v>28.69</c:v>
                </c:pt>
                <c:pt idx="708">
                  <c:v>30.495000000000001</c:v>
                </c:pt>
                <c:pt idx="709">
                  <c:v>27.74</c:v>
                </c:pt>
                <c:pt idx="710">
                  <c:v>35.200000000000003</c:v>
                </c:pt>
                <c:pt idx="711">
                  <c:v>23.54</c:v>
                </c:pt>
                <c:pt idx="712">
                  <c:v>30.684999999999999</c:v>
                </c:pt>
                <c:pt idx="713">
                  <c:v>40.47</c:v>
                </c:pt>
                <c:pt idx="714">
                  <c:v>22.6</c:v>
                </c:pt>
                <c:pt idx="715">
                  <c:v>28.9</c:v>
                </c:pt>
                <c:pt idx="716">
                  <c:v>22.61</c:v>
                </c:pt>
                <c:pt idx="717">
                  <c:v>24.32</c:v>
                </c:pt>
                <c:pt idx="718">
                  <c:v>36.67</c:v>
                </c:pt>
                <c:pt idx="719">
                  <c:v>33.44</c:v>
                </c:pt>
                <c:pt idx="720">
                  <c:v>40.659999999999997</c:v>
                </c:pt>
                <c:pt idx="721">
                  <c:v>36.6</c:v>
                </c:pt>
                <c:pt idx="722">
                  <c:v>37.4</c:v>
                </c:pt>
                <c:pt idx="723">
                  <c:v>35.4</c:v>
                </c:pt>
                <c:pt idx="724">
                  <c:v>27.074999999999999</c:v>
                </c:pt>
                <c:pt idx="725">
                  <c:v>39.049999999999997</c:v>
                </c:pt>
                <c:pt idx="726">
                  <c:v>28.405000000000001</c:v>
                </c:pt>
                <c:pt idx="727">
                  <c:v>21.754999999999999</c:v>
                </c:pt>
                <c:pt idx="728">
                  <c:v>40.28</c:v>
                </c:pt>
                <c:pt idx="729">
                  <c:v>36.08</c:v>
                </c:pt>
                <c:pt idx="730">
                  <c:v>24.42</c:v>
                </c:pt>
                <c:pt idx="731">
                  <c:v>21.4</c:v>
                </c:pt>
                <c:pt idx="732">
                  <c:v>30.1</c:v>
                </c:pt>
                <c:pt idx="733">
                  <c:v>27.265000000000001</c:v>
                </c:pt>
                <c:pt idx="734">
                  <c:v>32.1</c:v>
                </c:pt>
                <c:pt idx="735">
                  <c:v>34.770000000000003</c:v>
                </c:pt>
                <c:pt idx="736">
                  <c:v>38.39</c:v>
                </c:pt>
                <c:pt idx="737">
                  <c:v>23.7</c:v>
                </c:pt>
                <c:pt idx="738">
                  <c:v>31.73</c:v>
                </c:pt>
                <c:pt idx="739">
                  <c:v>35.5</c:v>
                </c:pt>
                <c:pt idx="740">
                  <c:v>24.035</c:v>
                </c:pt>
                <c:pt idx="741">
                  <c:v>29.15</c:v>
                </c:pt>
                <c:pt idx="742">
                  <c:v>34.104999999999997</c:v>
                </c:pt>
                <c:pt idx="743">
                  <c:v>26.62</c:v>
                </c:pt>
                <c:pt idx="744">
                  <c:v>26.41</c:v>
                </c:pt>
                <c:pt idx="745">
                  <c:v>30.114999999999998</c:v>
                </c:pt>
                <c:pt idx="746">
                  <c:v>27</c:v>
                </c:pt>
                <c:pt idx="747">
                  <c:v>21.754999999999999</c:v>
                </c:pt>
                <c:pt idx="748">
                  <c:v>36</c:v>
                </c:pt>
                <c:pt idx="749">
                  <c:v>30.875</c:v>
                </c:pt>
                <c:pt idx="750">
                  <c:v>26.4</c:v>
                </c:pt>
                <c:pt idx="751">
                  <c:v>28.975000000000001</c:v>
                </c:pt>
                <c:pt idx="752">
                  <c:v>37.905000000000001</c:v>
                </c:pt>
                <c:pt idx="753">
                  <c:v>22.77</c:v>
                </c:pt>
                <c:pt idx="754">
                  <c:v>33.630000000000003</c:v>
                </c:pt>
                <c:pt idx="755">
                  <c:v>27.645</c:v>
                </c:pt>
                <c:pt idx="756">
                  <c:v>22.8</c:v>
                </c:pt>
                <c:pt idx="757">
                  <c:v>27.83</c:v>
                </c:pt>
                <c:pt idx="758">
                  <c:v>37.43</c:v>
                </c:pt>
                <c:pt idx="759">
                  <c:v>38.17</c:v>
                </c:pt>
                <c:pt idx="760">
                  <c:v>34.58</c:v>
                </c:pt>
                <c:pt idx="761">
                  <c:v>35.200000000000003</c:v>
                </c:pt>
                <c:pt idx="762">
                  <c:v>27.1</c:v>
                </c:pt>
                <c:pt idx="763">
                  <c:v>26.03</c:v>
                </c:pt>
                <c:pt idx="764">
                  <c:v>25.175000000000001</c:v>
                </c:pt>
                <c:pt idx="765">
                  <c:v>31.824999999999999</c:v>
                </c:pt>
                <c:pt idx="766">
                  <c:v>32.299999999999997</c:v>
                </c:pt>
                <c:pt idx="767">
                  <c:v>29</c:v>
                </c:pt>
                <c:pt idx="768">
                  <c:v>39.700000000000003</c:v>
                </c:pt>
                <c:pt idx="769">
                  <c:v>19.475000000000001</c:v>
                </c:pt>
                <c:pt idx="770">
                  <c:v>36.1</c:v>
                </c:pt>
                <c:pt idx="771">
                  <c:v>26.7</c:v>
                </c:pt>
                <c:pt idx="772">
                  <c:v>36.479999999999997</c:v>
                </c:pt>
                <c:pt idx="773">
                  <c:v>28.88</c:v>
                </c:pt>
                <c:pt idx="774">
                  <c:v>34.200000000000003</c:v>
                </c:pt>
                <c:pt idx="775">
                  <c:v>33.33</c:v>
                </c:pt>
                <c:pt idx="776">
                  <c:v>32.299999999999997</c:v>
                </c:pt>
                <c:pt idx="777">
                  <c:v>39.805</c:v>
                </c:pt>
                <c:pt idx="778">
                  <c:v>34.32</c:v>
                </c:pt>
                <c:pt idx="779">
                  <c:v>28.88</c:v>
                </c:pt>
                <c:pt idx="780">
                  <c:v>24.4</c:v>
                </c:pt>
                <c:pt idx="781">
                  <c:v>41.14</c:v>
                </c:pt>
                <c:pt idx="782">
                  <c:v>35.97</c:v>
                </c:pt>
                <c:pt idx="783">
                  <c:v>27.6</c:v>
                </c:pt>
                <c:pt idx="784">
                  <c:v>29.26</c:v>
                </c:pt>
                <c:pt idx="785">
                  <c:v>27.7</c:v>
                </c:pt>
                <c:pt idx="786">
                  <c:v>36.954999999999998</c:v>
                </c:pt>
                <c:pt idx="787">
                  <c:v>36.86</c:v>
                </c:pt>
                <c:pt idx="788">
                  <c:v>22.515000000000001</c:v>
                </c:pt>
                <c:pt idx="789">
                  <c:v>29.92</c:v>
                </c:pt>
                <c:pt idx="790">
                  <c:v>41.8</c:v>
                </c:pt>
                <c:pt idx="791">
                  <c:v>27.6</c:v>
                </c:pt>
                <c:pt idx="792">
                  <c:v>23.18</c:v>
                </c:pt>
                <c:pt idx="793">
                  <c:v>20.9</c:v>
                </c:pt>
                <c:pt idx="794">
                  <c:v>31.92</c:v>
                </c:pt>
                <c:pt idx="795">
                  <c:v>28.5</c:v>
                </c:pt>
                <c:pt idx="796">
                  <c:v>44.22</c:v>
                </c:pt>
                <c:pt idx="797">
                  <c:v>22.895</c:v>
                </c:pt>
                <c:pt idx="798">
                  <c:v>33.1</c:v>
                </c:pt>
                <c:pt idx="799">
                  <c:v>24.795000000000002</c:v>
                </c:pt>
                <c:pt idx="800">
                  <c:v>26.18</c:v>
                </c:pt>
                <c:pt idx="801">
                  <c:v>35.97</c:v>
                </c:pt>
                <c:pt idx="802">
                  <c:v>22.3</c:v>
                </c:pt>
                <c:pt idx="803">
                  <c:v>42.24</c:v>
                </c:pt>
                <c:pt idx="804">
                  <c:v>26.51</c:v>
                </c:pt>
                <c:pt idx="805">
                  <c:v>35.814999999999998</c:v>
                </c:pt>
                <c:pt idx="806">
                  <c:v>41.42</c:v>
                </c:pt>
                <c:pt idx="807">
                  <c:v>36.575000000000003</c:v>
                </c:pt>
                <c:pt idx="808">
                  <c:v>30.14</c:v>
                </c:pt>
                <c:pt idx="809">
                  <c:v>25.84</c:v>
                </c:pt>
                <c:pt idx="810">
                  <c:v>30.8</c:v>
                </c:pt>
                <c:pt idx="811">
                  <c:v>42.94</c:v>
                </c:pt>
                <c:pt idx="812">
                  <c:v>21.01</c:v>
                </c:pt>
                <c:pt idx="813">
                  <c:v>22.515000000000001</c:v>
                </c:pt>
                <c:pt idx="814">
                  <c:v>34.43</c:v>
                </c:pt>
                <c:pt idx="815">
                  <c:v>31.46</c:v>
                </c:pt>
                <c:pt idx="816">
                  <c:v>24.225000000000001</c:v>
                </c:pt>
                <c:pt idx="817">
                  <c:v>37.1</c:v>
                </c:pt>
                <c:pt idx="818">
                  <c:v>26.125</c:v>
                </c:pt>
                <c:pt idx="819">
                  <c:v>35.53</c:v>
                </c:pt>
                <c:pt idx="820">
                  <c:v>33.700000000000003</c:v>
                </c:pt>
                <c:pt idx="821">
                  <c:v>17.670000000000002</c:v>
                </c:pt>
                <c:pt idx="822">
                  <c:v>31.13</c:v>
                </c:pt>
                <c:pt idx="823">
                  <c:v>29.81</c:v>
                </c:pt>
                <c:pt idx="824">
                  <c:v>24.32</c:v>
                </c:pt>
                <c:pt idx="825">
                  <c:v>31.824999999999999</c:v>
                </c:pt>
                <c:pt idx="826">
                  <c:v>31.79</c:v>
                </c:pt>
                <c:pt idx="827">
                  <c:v>28.024999999999999</c:v>
                </c:pt>
                <c:pt idx="828">
                  <c:v>30.78</c:v>
                </c:pt>
                <c:pt idx="829">
                  <c:v>21.85</c:v>
                </c:pt>
                <c:pt idx="830">
                  <c:v>33.1</c:v>
                </c:pt>
                <c:pt idx="831">
                  <c:v>25.84</c:v>
                </c:pt>
                <c:pt idx="832">
                  <c:v>23.844999999999999</c:v>
                </c:pt>
                <c:pt idx="833">
                  <c:v>34.39</c:v>
                </c:pt>
                <c:pt idx="834">
                  <c:v>33.82</c:v>
                </c:pt>
                <c:pt idx="835">
                  <c:v>35.97</c:v>
                </c:pt>
                <c:pt idx="836">
                  <c:v>31.5</c:v>
                </c:pt>
                <c:pt idx="837">
                  <c:v>28.31</c:v>
                </c:pt>
                <c:pt idx="838">
                  <c:v>23.465</c:v>
                </c:pt>
                <c:pt idx="839">
                  <c:v>31.35</c:v>
                </c:pt>
                <c:pt idx="840">
                  <c:v>31.1</c:v>
                </c:pt>
                <c:pt idx="841">
                  <c:v>24.7</c:v>
                </c:pt>
                <c:pt idx="842">
                  <c:v>32.78</c:v>
                </c:pt>
                <c:pt idx="843">
                  <c:v>29.81</c:v>
                </c:pt>
                <c:pt idx="844">
                  <c:v>30.495000000000001</c:v>
                </c:pt>
                <c:pt idx="845">
                  <c:v>32.450000000000003</c:v>
                </c:pt>
                <c:pt idx="846">
                  <c:v>34.200000000000003</c:v>
                </c:pt>
                <c:pt idx="847">
                  <c:v>50.38</c:v>
                </c:pt>
                <c:pt idx="848">
                  <c:v>24.1</c:v>
                </c:pt>
                <c:pt idx="849">
                  <c:v>32.774999999999999</c:v>
                </c:pt>
                <c:pt idx="850">
                  <c:v>30.78</c:v>
                </c:pt>
                <c:pt idx="851">
                  <c:v>32.299999999999997</c:v>
                </c:pt>
                <c:pt idx="852">
                  <c:v>35.53</c:v>
                </c:pt>
                <c:pt idx="853">
                  <c:v>23.75</c:v>
                </c:pt>
                <c:pt idx="854">
                  <c:v>23.844999999999999</c:v>
                </c:pt>
                <c:pt idx="855">
                  <c:v>29.6</c:v>
                </c:pt>
                <c:pt idx="856">
                  <c:v>33.11</c:v>
                </c:pt>
                <c:pt idx="857">
                  <c:v>24.13</c:v>
                </c:pt>
                <c:pt idx="858">
                  <c:v>32.229999999999997</c:v>
                </c:pt>
                <c:pt idx="859">
                  <c:v>28.1</c:v>
                </c:pt>
                <c:pt idx="860">
                  <c:v>47.6</c:v>
                </c:pt>
                <c:pt idx="861">
                  <c:v>28</c:v>
                </c:pt>
                <c:pt idx="862">
                  <c:v>33.534999999999997</c:v>
                </c:pt>
                <c:pt idx="863">
                  <c:v>19.855</c:v>
                </c:pt>
                <c:pt idx="864">
                  <c:v>25.4</c:v>
                </c:pt>
                <c:pt idx="865">
                  <c:v>29.9</c:v>
                </c:pt>
                <c:pt idx="866">
                  <c:v>37.29</c:v>
                </c:pt>
                <c:pt idx="867">
                  <c:v>43.7</c:v>
                </c:pt>
                <c:pt idx="868">
                  <c:v>23.655000000000001</c:v>
                </c:pt>
                <c:pt idx="869">
                  <c:v>24.3</c:v>
                </c:pt>
                <c:pt idx="870">
                  <c:v>36.200000000000003</c:v>
                </c:pt>
                <c:pt idx="871">
                  <c:v>29.48</c:v>
                </c:pt>
                <c:pt idx="872">
                  <c:v>24.86</c:v>
                </c:pt>
                <c:pt idx="873">
                  <c:v>30.1</c:v>
                </c:pt>
                <c:pt idx="874">
                  <c:v>21.85</c:v>
                </c:pt>
                <c:pt idx="875">
                  <c:v>28.12</c:v>
                </c:pt>
                <c:pt idx="876">
                  <c:v>27.1</c:v>
                </c:pt>
                <c:pt idx="877">
                  <c:v>33.44</c:v>
                </c:pt>
                <c:pt idx="878">
                  <c:v>28.8</c:v>
                </c:pt>
                <c:pt idx="879">
                  <c:v>29.5</c:v>
                </c:pt>
                <c:pt idx="880">
                  <c:v>34.799999999999997</c:v>
                </c:pt>
                <c:pt idx="881">
                  <c:v>27.36</c:v>
                </c:pt>
                <c:pt idx="882">
                  <c:v>22.135000000000002</c:v>
                </c:pt>
                <c:pt idx="883">
                  <c:v>37.049999999999997</c:v>
                </c:pt>
                <c:pt idx="884">
                  <c:v>26.695</c:v>
                </c:pt>
                <c:pt idx="885">
                  <c:v>28.93</c:v>
                </c:pt>
                <c:pt idx="886">
                  <c:v>28.975000000000001</c:v>
                </c:pt>
                <c:pt idx="887">
                  <c:v>30.02</c:v>
                </c:pt>
                <c:pt idx="888">
                  <c:v>39.5</c:v>
                </c:pt>
                <c:pt idx="889">
                  <c:v>33.630000000000003</c:v>
                </c:pt>
                <c:pt idx="890">
                  <c:v>26.885000000000002</c:v>
                </c:pt>
                <c:pt idx="891">
                  <c:v>29.04</c:v>
                </c:pt>
                <c:pt idx="892">
                  <c:v>24.035</c:v>
                </c:pt>
                <c:pt idx="893">
                  <c:v>38.94</c:v>
                </c:pt>
                <c:pt idx="894">
                  <c:v>32.11</c:v>
                </c:pt>
                <c:pt idx="895">
                  <c:v>44</c:v>
                </c:pt>
                <c:pt idx="896">
                  <c:v>20.045000000000002</c:v>
                </c:pt>
                <c:pt idx="897">
                  <c:v>25.555</c:v>
                </c:pt>
                <c:pt idx="898">
                  <c:v>40.26</c:v>
                </c:pt>
                <c:pt idx="899">
                  <c:v>22.515000000000001</c:v>
                </c:pt>
                <c:pt idx="900">
                  <c:v>22.515000000000001</c:v>
                </c:pt>
                <c:pt idx="901">
                  <c:v>40.92</c:v>
                </c:pt>
                <c:pt idx="902">
                  <c:v>27.265000000000001</c:v>
                </c:pt>
                <c:pt idx="903">
                  <c:v>36.85</c:v>
                </c:pt>
                <c:pt idx="904">
                  <c:v>35.1</c:v>
                </c:pt>
                <c:pt idx="905">
                  <c:v>29.355</c:v>
                </c:pt>
                <c:pt idx="906">
                  <c:v>32.585000000000001</c:v>
                </c:pt>
                <c:pt idx="907">
                  <c:v>32.340000000000003</c:v>
                </c:pt>
                <c:pt idx="908">
                  <c:v>39.799999999999997</c:v>
                </c:pt>
                <c:pt idx="909">
                  <c:v>24.6</c:v>
                </c:pt>
                <c:pt idx="910">
                  <c:v>28.31</c:v>
                </c:pt>
                <c:pt idx="911">
                  <c:v>31.73</c:v>
                </c:pt>
                <c:pt idx="912">
                  <c:v>26.695</c:v>
                </c:pt>
                <c:pt idx="913">
                  <c:v>27.5</c:v>
                </c:pt>
                <c:pt idx="914">
                  <c:v>24.605</c:v>
                </c:pt>
                <c:pt idx="915">
                  <c:v>33.99</c:v>
                </c:pt>
                <c:pt idx="916">
                  <c:v>26.885000000000002</c:v>
                </c:pt>
                <c:pt idx="917">
                  <c:v>22.895</c:v>
                </c:pt>
                <c:pt idx="918">
                  <c:v>28.2</c:v>
                </c:pt>
                <c:pt idx="919">
                  <c:v>34.21</c:v>
                </c:pt>
                <c:pt idx="920">
                  <c:v>25</c:v>
                </c:pt>
                <c:pt idx="921">
                  <c:v>33.200000000000003</c:v>
                </c:pt>
                <c:pt idx="922">
                  <c:v>31</c:v>
                </c:pt>
                <c:pt idx="923">
                  <c:v>35.814999999999998</c:v>
                </c:pt>
                <c:pt idx="924">
                  <c:v>23.2</c:v>
                </c:pt>
                <c:pt idx="925">
                  <c:v>32.11</c:v>
                </c:pt>
                <c:pt idx="926">
                  <c:v>23.4</c:v>
                </c:pt>
                <c:pt idx="927">
                  <c:v>20.100000000000001</c:v>
                </c:pt>
                <c:pt idx="928">
                  <c:v>39.159999999999997</c:v>
                </c:pt>
                <c:pt idx="929">
                  <c:v>34.21</c:v>
                </c:pt>
                <c:pt idx="930">
                  <c:v>46.53</c:v>
                </c:pt>
                <c:pt idx="931">
                  <c:v>32.5</c:v>
                </c:pt>
                <c:pt idx="932">
                  <c:v>25.8</c:v>
                </c:pt>
                <c:pt idx="933">
                  <c:v>35.299999999999997</c:v>
                </c:pt>
                <c:pt idx="934">
                  <c:v>37.18</c:v>
                </c:pt>
                <c:pt idx="935">
                  <c:v>27.5</c:v>
                </c:pt>
                <c:pt idx="936">
                  <c:v>29.734999999999999</c:v>
                </c:pt>
                <c:pt idx="937">
                  <c:v>24.225000000000001</c:v>
                </c:pt>
                <c:pt idx="938">
                  <c:v>26.18</c:v>
                </c:pt>
                <c:pt idx="939">
                  <c:v>29.48</c:v>
                </c:pt>
                <c:pt idx="940">
                  <c:v>23.21</c:v>
                </c:pt>
                <c:pt idx="941">
                  <c:v>46.09</c:v>
                </c:pt>
                <c:pt idx="942">
                  <c:v>40.185000000000002</c:v>
                </c:pt>
                <c:pt idx="943">
                  <c:v>22.61</c:v>
                </c:pt>
                <c:pt idx="944">
                  <c:v>39.93</c:v>
                </c:pt>
                <c:pt idx="945">
                  <c:v>35.799999999999997</c:v>
                </c:pt>
                <c:pt idx="946">
                  <c:v>35.799999999999997</c:v>
                </c:pt>
                <c:pt idx="947">
                  <c:v>34.200000000000003</c:v>
                </c:pt>
                <c:pt idx="948">
                  <c:v>31.254999999999999</c:v>
                </c:pt>
                <c:pt idx="949">
                  <c:v>29.7</c:v>
                </c:pt>
                <c:pt idx="950">
                  <c:v>18.335000000000001</c:v>
                </c:pt>
                <c:pt idx="951">
                  <c:v>42.9</c:v>
                </c:pt>
                <c:pt idx="952">
                  <c:v>28.405000000000001</c:v>
                </c:pt>
                <c:pt idx="953">
                  <c:v>30.2</c:v>
                </c:pt>
                <c:pt idx="954">
                  <c:v>27.835000000000001</c:v>
                </c:pt>
                <c:pt idx="955">
                  <c:v>39.49</c:v>
                </c:pt>
                <c:pt idx="956">
                  <c:v>30.8</c:v>
                </c:pt>
                <c:pt idx="957">
                  <c:v>26.79</c:v>
                </c:pt>
                <c:pt idx="958">
                  <c:v>34.96</c:v>
                </c:pt>
                <c:pt idx="959">
                  <c:v>36.67</c:v>
                </c:pt>
                <c:pt idx="960">
                  <c:v>39.615000000000002</c:v>
                </c:pt>
                <c:pt idx="961">
                  <c:v>25.9</c:v>
                </c:pt>
                <c:pt idx="962">
                  <c:v>35.200000000000003</c:v>
                </c:pt>
                <c:pt idx="963">
                  <c:v>24.795000000000002</c:v>
                </c:pt>
                <c:pt idx="964">
                  <c:v>36.765000000000001</c:v>
                </c:pt>
                <c:pt idx="965">
                  <c:v>27.1</c:v>
                </c:pt>
                <c:pt idx="966">
                  <c:v>24.795000000000002</c:v>
                </c:pt>
                <c:pt idx="967">
                  <c:v>25.364999999999998</c:v>
                </c:pt>
                <c:pt idx="968">
                  <c:v>25.745000000000001</c:v>
                </c:pt>
                <c:pt idx="969">
                  <c:v>34.32</c:v>
                </c:pt>
                <c:pt idx="970">
                  <c:v>28.16</c:v>
                </c:pt>
                <c:pt idx="971">
                  <c:v>23.56</c:v>
                </c:pt>
                <c:pt idx="972">
                  <c:v>20.234999999999999</c:v>
                </c:pt>
                <c:pt idx="973">
                  <c:v>40.5</c:v>
                </c:pt>
                <c:pt idx="974">
                  <c:v>35.42</c:v>
                </c:pt>
                <c:pt idx="975">
                  <c:v>22.895</c:v>
                </c:pt>
                <c:pt idx="976">
                  <c:v>40.15</c:v>
                </c:pt>
                <c:pt idx="977">
                  <c:v>29.15</c:v>
                </c:pt>
                <c:pt idx="978">
                  <c:v>39.994999999999997</c:v>
                </c:pt>
                <c:pt idx="979">
                  <c:v>29.92</c:v>
                </c:pt>
                <c:pt idx="980">
                  <c:v>25.46</c:v>
                </c:pt>
                <c:pt idx="981">
                  <c:v>21.375</c:v>
                </c:pt>
                <c:pt idx="982">
                  <c:v>25.9</c:v>
                </c:pt>
                <c:pt idx="983">
                  <c:v>30.59</c:v>
                </c:pt>
                <c:pt idx="984">
                  <c:v>30.114999999999998</c:v>
                </c:pt>
                <c:pt idx="985">
                  <c:v>25.8</c:v>
                </c:pt>
                <c:pt idx="986">
                  <c:v>30.114999999999998</c:v>
                </c:pt>
                <c:pt idx="987">
                  <c:v>27.645</c:v>
                </c:pt>
                <c:pt idx="988">
                  <c:v>34.674999999999997</c:v>
                </c:pt>
                <c:pt idx="989">
                  <c:v>20.52</c:v>
                </c:pt>
                <c:pt idx="990">
                  <c:v>19.8</c:v>
                </c:pt>
                <c:pt idx="991">
                  <c:v>27.835000000000001</c:v>
                </c:pt>
                <c:pt idx="992">
                  <c:v>31.6</c:v>
                </c:pt>
                <c:pt idx="993">
                  <c:v>28.27</c:v>
                </c:pt>
                <c:pt idx="994">
                  <c:v>20.045000000000002</c:v>
                </c:pt>
                <c:pt idx="995">
                  <c:v>23.274999999999999</c:v>
                </c:pt>
                <c:pt idx="996">
                  <c:v>34.1</c:v>
                </c:pt>
                <c:pt idx="997">
                  <c:v>36.85</c:v>
                </c:pt>
                <c:pt idx="998">
                  <c:v>36.29</c:v>
                </c:pt>
                <c:pt idx="999">
                  <c:v>26.885000000000002</c:v>
                </c:pt>
                <c:pt idx="1000">
                  <c:v>22.99</c:v>
                </c:pt>
                <c:pt idx="1001">
                  <c:v>32.700000000000003</c:v>
                </c:pt>
                <c:pt idx="1002">
                  <c:v>25.8</c:v>
                </c:pt>
                <c:pt idx="1003">
                  <c:v>29.6</c:v>
                </c:pt>
                <c:pt idx="1004">
                  <c:v>19.190000000000001</c:v>
                </c:pt>
                <c:pt idx="1005">
                  <c:v>31.73</c:v>
                </c:pt>
                <c:pt idx="1006">
                  <c:v>29.26</c:v>
                </c:pt>
                <c:pt idx="1007">
                  <c:v>28.215</c:v>
                </c:pt>
                <c:pt idx="1008">
                  <c:v>24.984999999999999</c:v>
                </c:pt>
                <c:pt idx="1009">
                  <c:v>27.74</c:v>
                </c:pt>
                <c:pt idx="1010">
                  <c:v>22.8</c:v>
                </c:pt>
                <c:pt idx="1011">
                  <c:v>20.13</c:v>
                </c:pt>
                <c:pt idx="1012">
                  <c:v>33.33</c:v>
                </c:pt>
                <c:pt idx="1013">
                  <c:v>32.299999999999997</c:v>
                </c:pt>
                <c:pt idx="1014">
                  <c:v>27.6</c:v>
                </c:pt>
                <c:pt idx="1015">
                  <c:v>25.46</c:v>
                </c:pt>
                <c:pt idx="1016">
                  <c:v>24.605</c:v>
                </c:pt>
                <c:pt idx="1017">
                  <c:v>34.200000000000003</c:v>
                </c:pt>
                <c:pt idx="1018">
                  <c:v>35.814999999999998</c:v>
                </c:pt>
                <c:pt idx="1019">
                  <c:v>32.68</c:v>
                </c:pt>
                <c:pt idx="1020">
                  <c:v>37</c:v>
                </c:pt>
                <c:pt idx="1021">
                  <c:v>31.02</c:v>
                </c:pt>
                <c:pt idx="1022">
                  <c:v>36.08</c:v>
                </c:pt>
                <c:pt idx="1023">
                  <c:v>23.32</c:v>
                </c:pt>
                <c:pt idx="1024">
                  <c:v>45.32</c:v>
                </c:pt>
                <c:pt idx="1025">
                  <c:v>34.6</c:v>
                </c:pt>
                <c:pt idx="1026">
                  <c:v>26.03</c:v>
                </c:pt>
                <c:pt idx="1027">
                  <c:v>18.715</c:v>
                </c:pt>
                <c:pt idx="1028">
                  <c:v>31.6</c:v>
                </c:pt>
                <c:pt idx="1029">
                  <c:v>17.29</c:v>
                </c:pt>
                <c:pt idx="1030">
                  <c:v>23.655000000000001</c:v>
                </c:pt>
                <c:pt idx="1031">
                  <c:v>35.200000000000003</c:v>
                </c:pt>
                <c:pt idx="1032">
                  <c:v>27.93</c:v>
                </c:pt>
                <c:pt idx="1033">
                  <c:v>21.565000000000001</c:v>
                </c:pt>
                <c:pt idx="1034">
                  <c:v>38.380000000000003</c:v>
                </c:pt>
                <c:pt idx="1035">
                  <c:v>23</c:v>
                </c:pt>
                <c:pt idx="1036">
                  <c:v>37.07</c:v>
                </c:pt>
                <c:pt idx="1037">
                  <c:v>30.495000000000001</c:v>
                </c:pt>
                <c:pt idx="1038">
                  <c:v>28.88</c:v>
                </c:pt>
                <c:pt idx="1039">
                  <c:v>27.265000000000001</c:v>
                </c:pt>
                <c:pt idx="1040">
                  <c:v>28.024999999999999</c:v>
                </c:pt>
                <c:pt idx="1041">
                  <c:v>23.085000000000001</c:v>
                </c:pt>
                <c:pt idx="1042">
                  <c:v>30.684999999999999</c:v>
                </c:pt>
                <c:pt idx="1043">
                  <c:v>25.8</c:v>
                </c:pt>
                <c:pt idx="1044">
                  <c:v>35.244999999999997</c:v>
                </c:pt>
                <c:pt idx="1045">
                  <c:v>24.7</c:v>
                </c:pt>
                <c:pt idx="1046">
                  <c:v>25.08</c:v>
                </c:pt>
                <c:pt idx="1047">
                  <c:v>52.58</c:v>
                </c:pt>
                <c:pt idx="1048">
                  <c:v>22.515000000000001</c:v>
                </c:pt>
                <c:pt idx="1049">
                  <c:v>30.9</c:v>
                </c:pt>
                <c:pt idx="1050">
                  <c:v>36.954999999999998</c:v>
                </c:pt>
                <c:pt idx="1051">
                  <c:v>26.41</c:v>
                </c:pt>
                <c:pt idx="1052">
                  <c:v>29.83</c:v>
                </c:pt>
                <c:pt idx="1053">
                  <c:v>29.8</c:v>
                </c:pt>
                <c:pt idx="1054">
                  <c:v>21.47</c:v>
                </c:pt>
                <c:pt idx="1055">
                  <c:v>27.645</c:v>
                </c:pt>
                <c:pt idx="1056">
                  <c:v>28.9</c:v>
                </c:pt>
                <c:pt idx="1057">
                  <c:v>31.79</c:v>
                </c:pt>
                <c:pt idx="1058">
                  <c:v>39.49</c:v>
                </c:pt>
                <c:pt idx="1059">
                  <c:v>33.82</c:v>
                </c:pt>
                <c:pt idx="1060">
                  <c:v>32.01</c:v>
                </c:pt>
                <c:pt idx="1061">
                  <c:v>27.94</c:v>
                </c:pt>
                <c:pt idx="1062">
                  <c:v>41.14</c:v>
                </c:pt>
                <c:pt idx="1063">
                  <c:v>28.594999999999999</c:v>
                </c:pt>
                <c:pt idx="1064">
                  <c:v>25.6</c:v>
                </c:pt>
                <c:pt idx="1065">
                  <c:v>25.3</c:v>
                </c:pt>
                <c:pt idx="1066">
                  <c:v>37.29</c:v>
                </c:pt>
                <c:pt idx="1067">
                  <c:v>42.655000000000001</c:v>
                </c:pt>
                <c:pt idx="1068">
                  <c:v>21.66</c:v>
                </c:pt>
                <c:pt idx="1069">
                  <c:v>31.9</c:v>
                </c:pt>
                <c:pt idx="1070">
                  <c:v>37.07</c:v>
                </c:pt>
                <c:pt idx="1071">
                  <c:v>31.445</c:v>
                </c:pt>
                <c:pt idx="1072">
                  <c:v>31.254999999999999</c:v>
                </c:pt>
                <c:pt idx="1073">
                  <c:v>28.88</c:v>
                </c:pt>
                <c:pt idx="1074">
                  <c:v>18.335000000000001</c:v>
                </c:pt>
                <c:pt idx="1075">
                  <c:v>29.59</c:v>
                </c:pt>
                <c:pt idx="1076">
                  <c:v>32</c:v>
                </c:pt>
                <c:pt idx="1077">
                  <c:v>26.03</c:v>
                </c:pt>
                <c:pt idx="1078">
                  <c:v>31.68</c:v>
                </c:pt>
                <c:pt idx="1079">
                  <c:v>33.659999999999997</c:v>
                </c:pt>
                <c:pt idx="1080">
                  <c:v>21.78</c:v>
                </c:pt>
                <c:pt idx="1081">
                  <c:v>27.835000000000001</c:v>
                </c:pt>
                <c:pt idx="1082">
                  <c:v>19.95</c:v>
                </c:pt>
                <c:pt idx="1083">
                  <c:v>31.5</c:v>
                </c:pt>
                <c:pt idx="1084">
                  <c:v>30.495000000000001</c:v>
                </c:pt>
                <c:pt idx="1085">
                  <c:v>18.3</c:v>
                </c:pt>
                <c:pt idx="1086">
                  <c:v>28.975000000000001</c:v>
                </c:pt>
                <c:pt idx="1087">
                  <c:v>31.54</c:v>
                </c:pt>
                <c:pt idx="1088">
                  <c:v>47.74</c:v>
                </c:pt>
                <c:pt idx="1089">
                  <c:v>22.1</c:v>
                </c:pt>
                <c:pt idx="1090">
                  <c:v>36.19</c:v>
                </c:pt>
                <c:pt idx="1091">
                  <c:v>29.83</c:v>
                </c:pt>
                <c:pt idx="1092">
                  <c:v>32.700000000000003</c:v>
                </c:pt>
                <c:pt idx="1093">
                  <c:v>30.4</c:v>
                </c:pt>
                <c:pt idx="1094">
                  <c:v>33.700000000000003</c:v>
                </c:pt>
                <c:pt idx="1095">
                  <c:v>31.35</c:v>
                </c:pt>
                <c:pt idx="1096">
                  <c:v>34.96</c:v>
                </c:pt>
                <c:pt idx="1097">
                  <c:v>33.770000000000003</c:v>
                </c:pt>
                <c:pt idx="1098">
                  <c:v>30.875</c:v>
                </c:pt>
                <c:pt idx="1099">
                  <c:v>33.99</c:v>
                </c:pt>
                <c:pt idx="1100">
                  <c:v>19.094999999999999</c:v>
                </c:pt>
                <c:pt idx="1101">
                  <c:v>28.6</c:v>
                </c:pt>
                <c:pt idx="1102">
                  <c:v>38.94</c:v>
                </c:pt>
                <c:pt idx="1103">
                  <c:v>36.08</c:v>
                </c:pt>
                <c:pt idx="1104">
                  <c:v>29.8</c:v>
                </c:pt>
                <c:pt idx="1105">
                  <c:v>31.24</c:v>
                </c:pt>
                <c:pt idx="1106">
                  <c:v>29.925000000000001</c:v>
                </c:pt>
                <c:pt idx="1107">
                  <c:v>26.22</c:v>
                </c:pt>
                <c:pt idx="1108">
                  <c:v>30</c:v>
                </c:pt>
                <c:pt idx="1109">
                  <c:v>20.350000000000001</c:v>
                </c:pt>
                <c:pt idx="1110">
                  <c:v>32.299999999999997</c:v>
                </c:pt>
                <c:pt idx="1111">
                  <c:v>38.39</c:v>
                </c:pt>
                <c:pt idx="1112">
                  <c:v>25.85</c:v>
                </c:pt>
                <c:pt idx="1113">
                  <c:v>26.315000000000001</c:v>
                </c:pt>
                <c:pt idx="1114">
                  <c:v>24.51</c:v>
                </c:pt>
                <c:pt idx="1115">
                  <c:v>32.67</c:v>
                </c:pt>
                <c:pt idx="1116">
                  <c:v>29.64</c:v>
                </c:pt>
                <c:pt idx="1117">
                  <c:v>33.33</c:v>
                </c:pt>
                <c:pt idx="1118">
                  <c:v>35.75</c:v>
                </c:pt>
                <c:pt idx="1119">
                  <c:v>19.95</c:v>
                </c:pt>
                <c:pt idx="1120">
                  <c:v>31.4</c:v>
                </c:pt>
                <c:pt idx="1121">
                  <c:v>38.17</c:v>
                </c:pt>
                <c:pt idx="1122">
                  <c:v>36.86</c:v>
                </c:pt>
                <c:pt idx="1123">
                  <c:v>32.395000000000003</c:v>
                </c:pt>
                <c:pt idx="1124">
                  <c:v>42.75</c:v>
                </c:pt>
                <c:pt idx="1125">
                  <c:v>25.08</c:v>
                </c:pt>
                <c:pt idx="1126">
                  <c:v>29.9</c:v>
                </c:pt>
                <c:pt idx="1127">
                  <c:v>35.86</c:v>
                </c:pt>
                <c:pt idx="1128">
                  <c:v>32.799999999999997</c:v>
                </c:pt>
                <c:pt idx="1129">
                  <c:v>18.600000000000001</c:v>
                </c:pt>
                <c:pt idx="1130">
                  <c:v>23.87</c:v>
                </c:pt>
                <c:pt idx="1131">
                  <c:v>45.9</c:v>
                </c:pt>
                <c:pt idx="1132">
                  <c:v>40.28</c:v>
                </c:pt>
                <c:pt idx="1133">
                  <c:v>18.335000000000001</c:v>
                </c:pt>
                <c:pt idx="1134">
                  <c:v>33.82</c:v>
                </c:pt>
                <c:pt idx="1135">
                  <c:v>28.12</c:v>
                </c:pt>
                <c:pt idx="1136">
                  <c:v>25</c:v>
                </c:pt>
                <c:pt idx="1137">
                  <c:v>22.23</c:v>
                </c:pt>
                <c:pt idx="1138">
                  <c:v>30.25</c:v>
                </c:pt>
                <c:pt idx="1139">
                  <c:v>32.49</c:v>
                </c:pt>
                <c:pt idx="1140">
                  <c:v>37.07</c:v>
                </c:pt>
                <c:pt idx="1141">
                  <c:v>32.6</c:v>
                </c:pt>
                <c:pt idx="1142">
                  <c:v>24.86</c:v>
                </c:pt>
                <c:pt idx="1143">
                  <c:v>32.340000000000003</c:v>
                </c:pt>
                <c:pt idx="1144">
                  <c:v>32.299999999999997</c:v>
                </c:pt>
                <c:pt idx="1145">
                  <c:v>32.774999999999999</c:v>
                </c:pt>
                <c:pt idx="1146">
                  <c:v>32.799999999999997</c:v>
                </c:pt>
                <c:pt idx="1147">
                  <c:v>31.92</c:v>
                </c:pt>
                <c:pt idx="1148">
                  <c:v>21.5</c:v>
                </c:pt>
                <c:pt idx="1149">
                  <c:v>34.1</c:v>
                </c:pt>
                <c:pt idx="1150">
                  <c:v>30.305</c:v>
                </c:pt>
                <c:pt idx="1151">
                  <c:v>36.479999999999997</c:v>
                </c:pt>
                <c:pt idx="1152">
                  <c:v>32.56</c:v>
                </c:pt>
                <c:pt idx="1153">
                  <c:v>35.814999999999998</c:v>
                </c:pt>
                <c:pt idx="1154">
                  <c:v>27.93</c:v>
                </c:pt>
                <c:pt idx="1155">
                  <c:v>22.135000000000002</c:v>
                </c:pt>
                <c:pt idx="1156">
                  <c:v>44.88</c:v>
                </c:pt>
                <c:pt idx="1157">
                  <c:v>23.18</c:v>
                </c:pt>
                <c:pt idx="1158">
                  <c:v>30.59</c:v>
                </c:pt>
                <c:pt idx="1159">
                  <c:v>41.1</c:v>
                </c:pt>
                <c:pt idx="1160">
                  <c:v>34.58</c:v>
                </c:pt>
                <c:pt idx="1161">
                  <c:v>42.13</c:v>
                </c:pt>
                <c:pt idx="1162">
                  <c:v>38.83</c:v>
                </c:pt>
                <c:pt idx="1163">
                  <c:v>28.215</c:v>
                </c:pt>
                <c:pt idx="1164">
                  <c:v>28.31</c:v>
                </c:pt>
                <c:pt idx="1165">
                  <c:v>26.125</c:v>
                </c:pt>
                <c:pt idx="1166">
                  <c:v>40.369999999999997</c:v>
                </c:pt>
                <c:pt idx="1167">
                  <c:v>24.6</c:v>
                </c:pt>
                <c:pt idx="1168">
                  <c:v>35.200000000000003</c:v>
                </c:pt>
                <c:pt idx="1169">
                  <c:v>34.104999999999997</c:v>
                </c:pt>
                <c:pt idx="1170">
                  <c:v>27.36</c:v>
                </c:pt>
                <c:pt idx="1171">
                  <c:v>26.7</c:v>
                </c:pt>
                <c:pt idx="1172">
                  <c:v>41.91</c:v>
                </c:pt>
                <c:pt idx="1173">
                  <c:v>29.26</c:v>
                </c:pt>
                <c:pt idx="1174">
                  <c:v>32.11</c:v>
                </c:pt>
                <c:pt idx="1175">
                  <c:v>27.1</c:v>
                </c:pt>
                <c:pt idx="1176">
                  <c:v>24.13</c:v>
                </c:pt>
                <c:pt idx="1177">
                  <c:v>27.4</c:v>
                </c:pt>
                <c:pt idx="1178">
                  <c:v>34.865000000000002</c:v>
                </c:pt>
                <c:pt idx="1179">
                  <c:v>29.81</c:v>
                </c:pt>
                <c:pt idx="1180">
                  <c:v>41.325000000000003</c:v>
                </c:pt>
                <c:pt idx="1181">
                  <c:v>29.925000000000001</c:v>
                </c:pt>
                <c:pt idx="1182">
                  <c:v>30.3</c:v>
                </c:pt>
                <c:pt idx="1183">
                  <c:v>27.36</c:v>
                </c:pt>
                <c:pt idx="1184">
                  <c:v>28.49</c:v>
                </c:pt>
                <c:pt idx="1185">
                  <c:v>23.56</c:v>
                </c:pt>
                <c:pt idx="1186">
                  <c:v>35.625</c:v>
                </c:pt>
                <c:pt idx="1187">
                  <c:v>32.68</c:v>
                </c:pt>
                <c:pt idx="1188">
                  <c:v>25.27</c:v>
                </c:pt>
                <c:pt idx="1189">
                  <c:v>28</c:v>
                </c:pt>
                <c:pt idx="1190">
                  <c:v>32.774999999999999</c:v>
                </c:pt>
                <c:pt idx="1191">
                  <c:v>21.754999999999999</c:v>
                </c:pt>
                <c:pt idx="1192">
                  <c:v>32.395000000000003</c:v>
                </c:pt>
                <c:pt idx="1193">
                  <c:v>36.575000000000003</c:v>
                </c:pt>
                <c:pt idx="1194">
                  <c:v>21.754999999999999</c:v>
                </c:pt>
                <c:pt idx="1195">
                  <c:v>27.93</c:v>
                </c:pt>
                <c:pt idx="1196">
                  <c:v>30.02</c:v>
                </c:pt>
                <c:pt idx="1197">
                  <c:v>33.549999999999997</c:v>
                </c:pt>
                <c:pt idx="1198">
                  <c:v>29.355</c:v>
                </c:pt>
                <c:pt idx="1199">
                  <c:v>25.8</c:v>
                </c:pt>
                <c:pt idx="1200">
                  <c:v>24.32</c:v>
                </c:pt>
                <c:pt idx="1201">
                  <c:v>40.375</c:v>
                </c:pt>
                <c:pt idx="1202">
                  <c:v>32.11</c:v>
                </c:pt>
                <c:pt idx="1203">
                  <c:v>32.299999999999997</c:v>
                </c:pt>
                <c:pt idx="1204">
                  <c:v>27.28</c:v>
                </c:pt>
                <c:pt idx="1205">
                  <c:v>17.86</c:v>
                </c:pt>
                <c:pt idx="1206">
                  <c:v>34.799999999999997</c:v>
                </c:pt>
                <c:pt idx="1207">
                  <c:v>33.4</c:v>
                </c:pt>
                <c:pt idx="1208">
                  <c:v>25.555</c:v>
                </c:pt>
                <c:pt idx="1209">
                  <c:v>37.1</c:v>
                </c:pt>
                <c:pt idx="1210">
                  <c:v>30.875</c:v>
                </c:pt>
                <c:pt idx="1211">
                  <c:v>34.1</c:v>
                </c:pt>
                <c:pt idx="1212">
                  <c:v>21.47</c:v>
                </c:pt>
                <c:pt idx="1213">
                  <c:v>33.299999999999997</c:v>
                </c:pt>
                <c:pt idx="1214">
                  <c:v>31.254999999999999</c:v>
                </c:pt>
                <c:pt idx="1215">
                  <c:v>39.14</c:v>
                </c:pt>
                <c:pt idx="1216">
                  <c:v>25.08</c:v>
                </c:pt>
                <c:pt idx="1217">
                  <c:v>37.29</c:v>
                </c:pt>
                <c:pt idx="1218">
                  <c:v>34.6</c:v>
                </c:pt>
                <c:pt idx="1219">
                  <c:v>30.21</c:v>
                </c:pt>
                <c:pt idx="1220">
                  <c:v>21.945</c:v>
                </c:pt>
                <c:pt idx="1221">
                  <c:v>24.97</c:v>
                </c:pt>
                <c:pt idx="1222">
                  <c:v>25.3</c:v>
                </c:pt>
                <c:pt idx="1223">
                  <c:v>24.42</c:v>
                </c:pt>
                <c:pt idx="1224">
                  <c:v>23.94</c:v>
                </c:pt>
                <c:pt idx="1225">
                  <c:v>39.82</c:v>
                </c:pt>
                <c:pt idx="1226">
                  <c:v>16.815000000000001</c:v>
                </c:pt>
                <c:pt idx="1227">
                  <c:v>37.18</c:v>
                </c:pt>
                <c:pt idx="1228">
                  <c:v>34.43</c:v>
                </c:pt>
                <c:pt idx="1229">
                  <c:v>30.305</c:v>
                </c:pt>
                <c:pt idx="1230">
                  <c:v>34.484999999999999</c:v>
                </c:pt>
                <c:pt idx="1231">
                  <c:v>21.8</c:v>
                </c:pt>
                <c:pt idx="1232">
                  <c:v>24.605</c:v>
                </c:pt>
                <c:pt idx="1233">
                  <c:v>23.3</c:v>
                </c:pt>
                <c:pt idx="1234">
                  <c:v>27.83</c:v>
                </c:pt>
                <c:pt idx="1235">
                  <c:v>31.065000000000001</c:v>
                </c:pt>
                <c:pt idx="1236">
                  <c:v>21.66</c:v>
                </c:pt>
                <c:pt idx="1237">
                  <c:v>28.215</c:v>
                </c:pt>
                <c:pt idx="1238">
                  <c:v>22.704999999999998</c:v>
                </c:pt>
                <c:pt idx="1239">
                  <c:v>42.13</c:v>
                </c:pt>
                <c:pt idx="1240">
                  <c:v>41.8</c:v>
                </c:pt>
                <c:pt idx="1241">
                  <c:v>36.96</c:v>
                </c:pt>
                <c:pt idx="1242">
                  <c:v>21.28</c:v>
                </c:pt>
                <c:pt idx="1243">
                  <c:v>33.11</c:v>
                </c:pt>
                <c:pt idx="1244">
                  <c:v>33.33</c:v>
                </c:pt>
                <c:pt idx="1245">
                  <c:v>24.3</c:v>
                </c:pt>
                <c:pt idx="1246">
                  <c:v>25.7</c:v>
                </c:pt>
                <c:pt idx="1247">
                  <c:v>29.4</c:v>
                </c:pt>
                <c:pt idx="1248">
                  <c:v>39.82</c:v>
                </c:pt>
                <c:pt idx="1249">
                  <c:v>33.630000000000003</c:v>
                </c:pt>
                <c:pt idx="1250">
                  <c:v>29.83</c:v>
                </c:pt>
                <c:pt idx="1251">
                  <c:v>19.8</c:v>
                </c:pt>
                <c:pt idx="1252">
                  <c:v>27.3</c:v>
                </c:pt>
                <c:pt idx="1253">
                  <c:v>29.3</c:v>
                </c:pt>
                <c:pt idx="1254">
                  <c:v>27.72</c:v>
                </c:pt>
                <c:pt idx="1255">
                  <c:v>37.9</c:v>
                </c:pt>
                <c:pt idx="1256">
                  <c:v>36.384999999999998</c:v>
                </c:pt>
                <c:pt idx="1257">
                  <c:v>27.645</c:v>
                </c:pt>
                <c:pt idx="1258">
                  <c:v>37.715000000000003</c:v>
                </c:pt>
                <c:pt idx="1259">
                  <c:v>23.18</c:v>
                </c:pt>
                <c:pt idx="1260">
                  <c:v>20.52</c:v>
                </c:pt>
                <c:pt idx="1261">
                  <c:v>37.1</c:v>
                </c:pt>
                <c:pt idx="1262">
                  <c:v>28.05</c:v>
                </c:pt>
                <c:pt idx="1263">
                  <c:v>29.9</c:v>
                </c:pt>
                <c:pt idx="1264">
                  <c:v>33.344999999999999</c:v>
                </c:pt>
                <c:pt idx="1265">
                  <c:v>23.76</c:v>
                </c:pt>
                <c:pt idx="1266">
                  <c:v>30.5</c:v>
                </c:pt>
                <c:pt idx="1267">
                  <c:v>31.065000000000001</c:v>
                </c:pt>
                <c:pt idx="1268">
                  <c:v>33.299999999999997</c:v>
                </c:pt>
                <c:pt idx="1269">
                  <c:v>27.5</c:v>
                </c:pt>
                <c:pt idx="1270">
                  <c:v>33.914999999999999</c:v>
                </c:pt>
                <c:pt idx="1271">
                  <c:v>34.484999999999999</c:v>
                </c:pt>
                <c:pt idx="1272">
                  <c:v>25.52</c:v>
                </c:pt>
                <c:pt idx="1273">
                  <c:v>27.61</c:v>
                </c:pt>
                <c:pt idx="1274">
                  <c:v>27.06</c:v>
                </c:pt>
                <c:pt idx="1275">
                  <c:v>23.7</c:v>
                </c:pt>
                <c:pt idx="1276">
                  <c:v>30.4</c:v>
                </c:pt>
                <c:pt idx="1277">
                  <c:v>29.734999999999999</c:v>
                </c:pt>
                <c:pt idx="1278">
                  <c:v>29.925000000000001</c:v>
                </c:pt>
                <c:pt idx="1279">
                  <c:v>26.79</c:v>
                </c:pt>
                <c:pt idx="1280">
                  <c:v>33.33</c:v>
                </c:pt>
                <c:pt idx="1281">
                  <c:v>27.645</c:v>
                </c:pt>
                <c:pt idx="1282">
                  <c:v>21.66</c:v>
                </c:pt>
                <c:pt idx="1283">
                  <c:v>30.03</c:v>
                </c:pt>
                <c:pt idx="1284">
                  <c:v>36.299999999999997</c:v>
                </c:pt>
                <c:pt idx="1285">
                  <c:v>24.32</c:v>
                </c:pt>
                <c:pt idx="1286">
                  <c:v>17.29</c:v>
                </c:pt>
                <c:pt idx="1287">
                  <c:v>25.9</c:v>
                </c:pt>
                <c:pt idx="1288">
                  <c:v>39.4</c:v>
                </c:pt>
                <c:pt idx="1289">
                  <c:v>34.32</c:v>
                </c:pt>
                <c:pt idx="1290">
                  <c:v>19.95</c:v>
                </c:pt>
                <c:pt idx="1291">
                  <c:v>34.9</c:v>
                </c:pt>
                <c:pt idx="1292">
                  <c:v>23.21</c:v>
                </c:pt>
                <c:pt idx="1293">
                  <c:v>25.745000000000001</c:v>
                </c:pt>
                <c:pt idx="1294">
                  <c:v>25.175000000000001</c:v>
                </c:pt>
                <c:pt idx="1295">
                  <c:v>22</c:v>
                </c:pt>
                <c:pt idx="1296">
                  <c:v>26.125</c:v>
                </c:pt>
                <c:pt idx="1297">
                  <c:v>26.51</c:v>
                </c:pt>
                <c:pt idx="1298">
                  <c:v>27.454999999999998</c:v>
                </c:pt>
                <c:pt idx="1299">
                  <c:v>25.745000000000001</c:v>
                </c:pt>
                <c:pt idx="1300">
                  <c:v>30.36</c:v>
                </c:pt>
                <c:pt idx="1301">
                  <c:v>30.875</c:v>
                </c:pt>
                <c:pt idx="1302">
                  <c:v>20.8</c:v>
                </c:pt>
                <c:pt idx="1303">
                  <c:v>27.8</c:v>
                </c:pt>
                <c:pt idx="1304">
                  <c:v>24.605</c:v>
                </c:pt>
                <c:pt idx="1305">
                  <c:v>27.72</c:v>
                </c:pt>
                <c:pt idx="1306">
                  <c:v>21.85</c:v>
                </c:pt>
                <c:pt idx="1307">
                  <c:v>28.12</c:v>
                </c:pt>
                <c:pt idx="1308">
                  <c:v>30.2</c:v>
                </c:pt>
                <c:pt idx="1309">
                  <c:v>32.200000000000003</c:v>
                </c:pt>
                <c:pt idx="1310">
                  <c:v>26.315000000000001</c:v>
                </c:pt>
                <c:pt idx="1311">
                  <c:v>26.695</c:v>
                </c:pt>
                <c:pt idx="1312">
                  <c:v>42.9</c:v>
                </c:pt>
                <c:pt idx="1313">
                  <c:v>34.700000000000003</c:v>
                </c:pt>
                <c:pt idx="1314">
                  <c:v>23.655000000000001</c:v>
                </c:pt>
                <c:pt idx="1315">
                  <c:v>28.31</c:v>
                </c:pt>
                <c:pt idx="1316">
                  <c:v>20.6</c:v>
                </c:pt>
                <c:pt idx="1317">
                  <c:v>53.13</c:v>
                </c:pt>
                <c:pt idx="1318">
                  <c:v>39.71</c:v>
                </c:pt>
                <c:pt idx="1319">
                  <c:v>26.315000000000001</c:v>
                </c:pt>
                <c:pt idx="1320">
                  <c:v>31.065000000000001</c:v>
                </c:pt>
                <c:pt idx="1321">
                  <c:v>26.695</c:v>
                </c:pt>
                <c:pt idx="1322">
                  <c:v>38.83</c:v>
                </c:pt>
                <c:pt idx="1323">
                  <c:v>40.369999999999997</c:v>
                </c:pt>
                <c:pt idx="1324">
                  <c:v>25.934999999999999</c:v>
                </c:pt>
                <c:pt idx="1325">
                  <c:v>33.534999999999997</c:v>
                </c:pt>
                <c:pt idx="1326">
                  <c:v>32.869999999999997</c:v>
                </c:pt>
                <c:pt idx="1327">
                  <c:v>30.03</c:v>
                </c:pt>
                <c:pt idx="1328">
                  <c:v>24.225000000000001</c:v>
                </c:pt>
                <c:pt idx="1329">
                  <c:v>38.6</c:v>
                </c:pt>
                <c:pt idx="1330">
                  <c:v>25.74</c:v>
                </c:pt>
                <c:pt idx="1331">
                  <c:v>33.4</c:v>
                </c:pt>
                <c:pt idx="1332">
                  <c:v>44.7</c:v>
                </c:pt>
                <c:pt idx="1333">
                  <c:v>30.97</c:v>
                </c:pt>
                <c:pt idx="1334">
                  <c:v>31.92</c:v>
                </c:pt>
                <c:pt idx="1335">
                  <c:v>26.85</c:v>
                </c:pt>
                <c:pt idx="1336">
                  <c:v>25.8</c:v>
                </c:pt>
                <c:pt idx="1337">
                  <c:v>29.07</c:v>
                </c:pt>
              </c:numCache>
            </c:numRef>
          </c:xVal>
          <c:yVal>
            <c:numRef>
              <c:f>'insurance (4)0---'!$H$2:$H$1339</c:f>
              <c:numCache>
                <c:formatCode>General</c:formatCode>
                <c:ptCount val="1338"/>
                <c:pt idx="0">
                  <c:v>16884.923999999999</c:v>
                </c:pt>
                <c:pt idx="1">
                  <c:v>1725.5523000000001</c:v>
                </c:pt>
                <c:pt idx="2">
                  <c:v>4449.4620000000004</c:v>
                </c:pt>
                <c:pt idx="3">
                  <c:v>21984.47061</c:v>
                </c:pt>
                <c:pt idx="4">
                  <c:v>3866.8552</c:v>
                </c:pt>
                <c:pt idx="5">
                  <c:v>3756.6215999999999</c:v>
                </c:pt>
                <c:pt idx="6">
                  <c:v>8240.5895999999993</c:v>
                </c:pt>
                <c:pt idx="7">
                  <c:v>7281.5056000000004</c:v>
                </c:pt>
                <c:pt idx="8">
                  <c:v>6406.4107000000004</c:v>
                </c:pt>
                <c:pt idx="9">
                  <c:v>28923.136920000001</c:v>
                </c:pt>
                <c:pt idx="10">
                  <c:v>2721.3208</c:v>
                </c:pt>
                <c:pt idx="11">
                  <c:v>27808.7251</c:v>
                </c:pt>
                <c:pt idx="12">
                  <c:v>1826.8430000000001</c:v>
                </c:pt>
                <c:pt idx="13">
                  <c:v>11090.7178</c:v>
                </c:pt>
                <c:pt idx="14">
                  <c:v>39611.757700000002</c:v>
                </c:pt>
                <c:pt idx="15">
                  <c:v>1837.2370000000001</c:v>
                </c:pt>
                <c:pt idx="16">
                  <c:v>10797.3362</c:v>
                </c:pt>
                <c:pt idx="17">
                  <c:v>2395.17155</c:v>
                </c:pt>
                <c:pt idx="18">
                  <c:v>10602.385</c:v>
                </c:pt>
                <c:pt idx="19">
                  <c:v>36837.466999999997</c:v>
                </c:pt>
                <c:pt idx="20">
                  <c:v>13228.846949999999</c:v>
                </c:pt>
                <c:pt idx="21">
                  <c:v>4149.7359999999999</c:v>
                </c:pt>
                <c:pt idx="22">
                  <c:v>1137.011</c:v>
                </c:pt>
                <c:pt idx="23">
                  <c:v>37701.876799999998</c:v>
                </c:pt>
                <c:pt idx="24">
                  <c:v>6203.90175</c:v>
                </c:pt>
                <c:pt idx="25">
                  <c:v>14001.1338</c:v>
                </c:pt>
                <c:pt idx="26">
                  <c:v>14451.835150000001</c:v>
                </c:pt>
                <c:pt idx="27">
                  <c:v>12268.632250000001</c:v>
                </c:pt>
                <c:pt idx="28">
                  <c:v>2775.1921499999999</c:v>
                </c:pt>
                <c:pt idx="29">
                  <c:v>38711</c:v>
                </c:pt>
                <c:pt idx="30">
                  <c:v>35585.576000000001</c:v>
                </c:pt>
                <c:pt idx="31">
                  <c:v>2198.1898500000002</c:v>
                </c:pt>
                <c:pt idx="32">
                  <c:v>4687.7969999999996</c:v>
                </c:pt>
                <c:pt idx="33">
                  <c:v>13770.097900000001</c:v>
                </c:pt>
                <c:pt idx="34">
                  <c:v>51194.559139999998</c:v>
                </c:pt>
                <c:pt idx="35">
                  <c:v>1625.4337499999999</c:v>
                </c:pt>
                <c:pt idx="36">
                  <c:v>15612.19335</c:v>
                </c:pt>
                <c:pt idx="37">
                  <c:v>2302.3000000000002</c:v>
                </c:pt>
                <c:pt idx="38">
                  <c:v>39774.276299999998</c:v>
                </c:pt>
                <c:pt idx="39">
                  <c:v>48173.360999999997</c:v>
                </c:pt>
                <c:pt idx="40">
                  <c:v>3046.0619999999999</c:v>
                </c:pt>
                <c:pt idx="41">
                  <c:v>4949.7587000000003</c:v>
                </c:pt>
                <c:pt idx="42">
                  <c:v>6272.4772000000003</c:v>
                </c:pt>
                <c:pt idx="43">
                  <c:v>6313.759</c:v>
                </c:pt>
                <c:pt idx="44">
                  <c:v>6079.6715000000004</c:v>
                </c:pt>
                <c:pt idx="45">
                  <c:v>20630.283510000001</c:v>
                </c:pt>
                <c:pt idx="46">
                  <c:v>3393.35635</c:v>
                </c:pt>
                <c:pt idx="47">
                  <c:v>3556.9223000000002</c:v>
                </c:pt>
                <c:pt idx="48">
                  <c:v>12629.896699999999</c:v>
                </c:pt>
                <c:pt idx="49">
                  <c:v>38709.175999999999</c:v>
                </c:pt>
                <c:pt idx="50">
                  <c:v>2211.1307499999998</c:v>
                </c:pt>
                <c:pt idx="51">
                  <c:v>3579.8287</c:v>
                </c:pt>
                <c:pt idx="52">
                  <c:v>23568.272000000001</c:v>
                </c:pt>
                <c:pt idx="53">
                  <c:v>37742.575700000001</c:v>
                </c:pt>
                <c:pt idx="54">
                  <c:v>8059.6791000000003</c:v>
                </c:pt>
                <c:pt idx="55">
                  <c:v>47496.494449999998</c:v>
                </c:pt>
                <c:pt idx="56">
                  <c:v>13607.36875</c:v>
                </c:pt>
                <c:pt idx="57">
                  <c:v>34303.167200000004</c:v>
                </c:pt>
                <c:pt idx="58">
                  <c:v>23244.790199999999</c:v>
                </c:pt>
                <c:pt idx="59">
                  <c:v>5989.5236500000001</c:v>
                </c:pt>
                <c:pt idx="60">
                  <c:v>8606.2173999999995</c:v>
                </c:pt>
                <c:pt idx="61">
                  <c:v>4504.6624000000002</c:v>
                </c:pt>
                <c:pt idx="62">
                  <c:v>30166.618170000002</c:v>
                </c:pt>
                <c:pt idx="63">
                  <c:v>4133.6416499999996</c:v>
                </c:pt>
                <c:pt idx="64">
                  <c:v>14711.7438</c:v>
                </c:pt>
                <c:pt idx="65">
                  <c:v>1743.2139999999999</c:v>
                </c:pt>
                <c:pt idx="66">
                  <c:v>14235.072</c:v>
                </c:pt>
                <c:pt idx="67">
                  <c:v>6389.3778499999999</c:v>
                </c:pt>
                <c:pt idx="68">
                  <c:v>5920.1040999999996</c:v>
                </c:pt>
                <c:pt idx="69">
                  <c:v>17663.144199999999</c:v>
                </c:pt>
                <c:pt idx="70">
                  <c:v>16577.779500000001</c:v>
                </c:pt>
                <c:pt idx="71">
                  <c:v>6799.4579999999996</c:v>
                </c:pt>
                <c:pt idx="72">
                  <c:v>11741.726000000001</c:v>
                </c:pt>
                <c:pt idx="73">
                  <c:v>11946.625899999999</c:v>
                </c:pt>
                <c:pt idx="74">
                  <c:v>7726.8540000000003</c:v>
                </c:pt>
                <c:pt idx="75">
                  <c:v>11356.660900000001</c:v>
                </c:pt>
                <c:pt idx="76">
                  <c:v>3947.4131000000002</c:v>
                </c:pt>
                <c:pt idx="77">
                  <c:v>1532.4697000000001</c:v>
                </c:pt>
                <c:pt idx="78">
                  <c:v>2755.0209500000001</c:v>
                </c:pt>
                <c:pt idx="79">
                  <c:v>6571.0243499999997</c:v>
                </c:pt>
                <c:pt idx="80">
                  <c:v>4441.2131499999996</c:v>
                </c:pt>
                <c:pt idx="81">
                  <c:v>7935.29115</c:v>
                </c:pt>
                <c:pt idx="82">
                  <c:v>37165.163800000002</c:v>
                </c:pt>
                <c:pt idx="83">
                  <c:v>11033.661700000001</c:v>
                </c:pt>
                <c:pt idx="84">
                  <c:v>39836.519</c:v>
                </c:pt>
                <c:pt idx="85">
                  <c:v>21098.554049999999</c:v>
                </c:pt>
                <c:pt idx="86">
                  <c:v>43578.939400000003</c:v>
                </c:pt>
                <c:pt idx="87">
                  <c:v>11073.175999999999</c:v>
                </c:pt>
                <c:pt idx="88">
                  <c:v>8026.6665999999996</c:v>
                </c:pt>
                <c:pt idx="89">
                  <c:v>11082.5772</c:v>
                </c:pt>
                <c:pt idx="90">
                  <c:v>2026.9740999999999</c:v>
                </c:pt>
                <c:pt idx="91">
                  <c:v>10942.13205</c:v>
                </c:pt>
                <c:pt idx="92">
                  <c:v>30184.936699999998</c:v>
                </c:pt>
                <c:pt idx="93">
                  <c:v>5729.0052999999998</c:v>
                </c:pt>
                <c:pt idx="94">
                  <c:v>47291.055</c:v>
                </c:pt>
                <c:pt idx="95">
                  <c:v>3766.8838000000001</c:v>
                </c:pt>
                <c:pt idx="96">
                  <c:v>12105.32</c:v>
                </c:pt>
                <c:pt idx="97">
                  <c:v>10226.2842</c:v>
                </c:pt>
                <c:pt idx="98">
                  <c:v>22412.648499999999</c:v>
                </c:pt>
                <c:pt idx="99">
                  <c:v>15820.699000000001</c:v>
                </c:pt>
                <c:pt idx="100">
                  <c:v>6186.1270000000004</c:v>
                </c:pt>
                <c:pt idx="101">
                  <c:v>3645.0893999999998</c:v>
                </c:pt>
                <c:pt idx="102">
                  <c:v>21344.846699999998</c:v>
                </c:pt>
                <c:pt idx="103">
                  <c:v>30942.191800000001</c:v>
                </c:pt>
                <c:pt idx="104">
                  <c:v>5003.8530000000001</c:v>
                </c:pt>
                <c:pt idx="105">
                  <c:v>17560.37975</c:v>
                </c:pt>
                <c:pt idx="106">
                  <c:v>2331.5189999999998</c:v>
                </c:pt>
                <c:pt idx="107">
                  <c:v>3877.3042500000001</c:v>
                </c:pt>
                <c:pt idx="108">
                  <c:v>2867.1196</c:v>
                </c:pt>
                <c:pt idx="109">
                  <c:v>47055.532099999997</c:v>
                </c:pt>
                <c:pt idx="110">
                  <c:v>10825.253699999999</c:v>
                </c:pt>
                <c:pt idx="111">
                  <c:v>11881.358</c:v>
                </c:pt>
                <c:pt idx="112">
                  <c:v>4646.759</c:v>
                </c:pt>
                <c:pt idx="113">
                  <c:v>2404.7338</c:v>
                </c:pt>
                <c:pt idx="114">
                  <c:v>11488.31695</c:v>
                </c:pt>
                <c:pt idx="115">
                  <c:v>30259.995559999999</c:v>
                </c:pt>
                <c:pt idx="116">
                  <c:v>11381.3254</c:v>
                </c:pt>
                <c:pt idx="117">
                  <c:v>19107.779600000002</c:v>
                </c:pt>
                <c:pt idx="118">
                  <c:v>8601.3292999999994</c:v>
                </c:pt>
                <c:pt idx="119">
                  <c:v>6686.4313000000002</c:v>
                </c:pt>
                <c:pt idx="120">
                  <c:v>7740.3370000000004</c:v>
                </c:pt>
                <c:pt idx="121">
                  <c:v>1705.6244999999999</c:v>
                </c:pt>
                <c:pt idx="122">
                  <c:v>2257.47525</c:v>
                </c:pt>
                <c:pt idx="123">
                  <c:v>39556.494500000001</c:v>
                </c:pt>
                <c:pt idx="124">
                  <c:v>10115.00885</c:v>
                </c:pt>
                <c:pt idx="125">
                  <c:v>3385.3991500000002</c:v>
                </c:pt>
                <c:pt idx="126">
                  <c:v>17081.080000000002</c:v>
                </c:pt>
                <c:pt idx="127">
                  <c:v>9634.5380000000005</c:v>
                </c:pt>
                <c:pt idx="128">
                  <c:v>32734.186300000001</c:v>
                </c:pt>
                <c:pt idx="129">
                  <c:v>6082.4049999999997</c:v>
                </c:pt>
                <c:pt idx="130">
                  <c:v>12815.444949999999</c:v>
                </c:pt>
                <c:pt idx="131">
                  <c:v>13616.3586</c:v>
                </c:pt>
                <c:pt idx="132">
                  <c:v>11163.567999999999</c:v>
                </c:pt>
                <c:pt idx="133">
                  <c:v>1632.5644500000001</c:v>
                </c:pt>
                <c:pt idx="134">
                  <c:v>2457.2111500000001</c:v>
                </c:pt>
                <c:pt idx="135">
                  <c:v>2155.6815000000001</c:v>
                </c:pt>
                <c:pt idx="136">
                  <c:v>1261.442</c:v>
                </c:pt>
                <c:pt idx="137">
                  <c:v>2045.68525</c:v>
                </c:pt>
                <c:pt idx="138">
                  <c:v>27322.73386</c:v>
                </c:pt>
                <c:pt idx="139">
                  <c:v>2166.732</c:v>
                </c:pt>
                <c:pt idx="140">
                  <c:v>27375.904780000001</c:v>
                </c:pt>
                <c:pt idx="141">
                  <c:v>3490.5491000000002</c:v>
                </c:pt>
                <c:pt idx="142">
                  <c:v>18972.494999999999</c:v>
                </c:pt>
                <c:pt idx="143">
                  <c:v>18157.876</c:v>
                </c:pt>
                <c:pt idx="144">
                  <c:v>20745.989099999999</c:v>
                </c:pt>
                <c:pt idx="145">
                  <c:v>5138.2566999999999</c:v>
                </c:pt>
                <c:pt idx="146">
                  <c:v>40720.551050000002</c:v>
                </c:pt>
                <c:pt idx="147">
                  <c:v>9877.6077000000005</c:v>
                </c:pt>
                <c:pt idx="148">
                  <c:v>10959.6947</c:v>
                </c:pt>
                <c:pt idx="149">
                  <c:v>1842.519</c:v>
                </c:pt>
                <c:pt idx="150">
                  <c:v>5125.2156999999997</c:v>
                </c:pt>
                <c:pt idx="151">
                  <c:v>7789.6350000000002</c:v>
                </c:pt>
                <c:pt idx="152">
                  <c:v>6334.3435499999996</c:v>
                </c:pt>
                <c:pt idx="153">
                  <c:v>19964.746299999999</c:v>
                </c:pt>
                <c:pt idx="154">
                  <c:v>7077.1894000000002</c:v>
                </c:pt>
                <c:pt idx="155">
                  <c:v>6948.7007999999996</c:v>
                </c:pt>
                <c:pt idx="156">
                  <c:v>21223.675800000001</c:v>
                </c:pt>
                <c:pt idx="157">
                  <c:v>15518.180249999999</c:v>
                </c:pt>
                <c:pt idx="158">
                  <c:v>36950.256699999998</c:v>
                </c:pt>
                <c:pt idx="159">
                  <c:v>19749.383379999999</c:v>
                </c:pt>
                <c:pt idx="160">
                  <c:v>21348.705999999998</c:v>
                </c:pt>
                <c:pt idx="161">
                  <c:v>36149.483500000002</c:v>
                </c:pt>
                <c:pt idx="162">
                  <c:v>10450.552</c:v>
                </c:pt>
                <c:pt idx="163">
                  <c:v>5152.134</c:v>
                </c:pt>
                <c:pt idx="164">
                  <c:v>5028.1466</c:v>
                </c:pt>
                <c:pt idx="165">
                  <c:v>10407.085849999999</c:v>
                </c:pt>
                <c:pt idx="166">
                  <c:v>4830.63</c:v>
                </c:pt>
                <c:pt idx="167">
                  <c:v>6128.79745</c:v>
                </c:pt>
                <c:pt idx="168">
                  <c:v>2719.2797500000001</c:v>
                </c:pt>
                <c:pt idx="169">
                  <c:v>4827.9049500000001</c:v>
                </c:pt>
                <c:pt idx="170">
                  <c:v>13405.390299999999</c:v>
                </c:pt>
                <c:pt idx="171">
                  <c:v>8116.68</c:v>
                </c:pt>
                <c:pt idx="172">
                  <c:v>1694.7963999999999</c:v>
                </c:pt>
                <c:pt idx="173">
                  <c:v>5246.0469999999996</c:v>
                </c:pt>
                <c:pt idx="174">
                  <c:v>2855.4375500000001</c:v>
                </c:pt>
                <c:pt idx="175">
                  <c:v>48824.45</c:v>
                </c:pt>
                <c:pt idx="176">
                  <c:v>6455.86265</c:v>
                </c:pt>
                <c:pt idx="177">
                  <c:v>10436.096</c:v>
                </c:pt>
                <c:pt idx="178">
                  <c:v>8823.2790000000005</c:v>
                </c:pt>
                <c:pt idx="179">
                  <c:v>8538.28845</c:v>
                </c:pt>
                <c:pt idx="180">
                  <c:v>11735.87905</c:v>
                </c:pt>
                <c:pt idx="181">
                  <c:v>1631.8212000000001</c:v>
                </c:pt>
                <c:pt idx="182">
                  <c:v>4005.4225000000001</c:v>
                </c:pt>
                <c:pt idx="183">
                  <c:v>7419.4778999999999</c:v>
                </c:pt>
                <c:pt idx="184">
                  <c:v>7731.4270999999999</c:v>
                </c:pt>
                <c:pt idx="185">
                  <c:v>43753.337050000002</c:v>
                </c:pt>
                <c:pt idx="186">
                  <c:v>3981.9767999999999</c:v>
                </c:pt>
                <c:pt idx="187">
                  <c:v>5325.6509999999998</c:v>
                </c:pt>
                <c:pt idx="188">
                  <c:v>6775.9610000000002</c:v>
                </c:pt>
                <c:pt idx="189">
                  <c:v>4922.9159</c:v>
                </c:pt>
                <c:pt idx="190">
                  <c:v>12557.605299999999</c:v>
                </c:pt>
                <c:pt idx="191">
                  <c:v>4883.866</c:v>
                </c:pt>
                <c:pt idx="192">
                  <c:v>2137.6536000000001</c:v>
                </c:pt>
                <c:pt idx="193">
                  <c:v>12044.342000000001</c:v>
                </c:pt>
                <c:pt idx="194">
                  <c:v>1137.4697000000001</c:v>
                </c:pt>
                <c:pt idx="195">
                  <c:v>1639.5631000000001</c:v>
                </c:pt>
                <c:pt idx="196">
                  <c:v>5649.7150000000001</c:v>
                </c:pt>
                <c:pt idx="197">
                  <c:v>8516.8289999999997</c:v>
                </c:pt>
                <c:pt idx="198">
                  <c:v>9644.2525000000005</c:v>
                </c:pt>
                <c:pt idx="199">
                  <c:v>14901.5167</c:v>
                </c:pt>
                <c:pt idx="200">
                  <c:v>2130.6759000000002</c:v>
                </c:pt>
                <c:pt idx="201">
                  <c:v>8871.1517000000003</c:v>
                </c:pt>
                <c:pt idx="202">
                  <c:v>13012.20865</c:v>
                </c:pt>
                <c:pt idx="203">
                  <c:v>37133.898200000003</c:v>
                </c:pt>
                <c:pt idx="204">
                  <c:v>7147.1049999999996</c:v>
                </c:pt>
                <c:pt idx="205">
                  <c:v>4337.7352000000001</c:v>
                </c:pt>
                <c:pt idx="206">
                  <c:v>11743.299000000001</c:v>
                </c:pt>
                <c:pt idx="207">
                  <c:v>20984.0936</c:v>
                </c:pt>
                <c:pt idx="208">
                  <c:v>13880.949000000001</c:v>
                </c:pt>
                <c:pt idx="209">
                  <c:v>6610.1097</c:v>
                </c:pt>
                <c:pt idx="210">
                  <c:v>1980.07</c:v>
                </c:pt>
                <c:pt idx="211">
                  <c:v>8162.7162500000004</c:v>
                </c:pt>
                <c:pt idx="212">
                  <c:v>3537.703</c:v>
                </c:pt>
                <c:pt idx="213">
                  <c:v>5002.7826999999997</c:v>
                </c:pt>
                <c:pt idx="214">
                  <c:v>8520.0259999999998</c:v>
                </c:pt>
                <c:pt idx="215">
                  <c:v>7371.7719999999999</c:v>
                </c:pt>
                <c:pt idx="216">
                  <c:v>10355.641</c:v>
                </c:pt>
                <c:pt idx="217">
                  <c:v>2483.7359999999999</c:v>
                </c:pt>
                <c:pt idx="218">
                  <c:v>3392.9767999999999</c:v>
                </c:pt>
                <c:pt idx="219">
                  <c:v>25081.76784</c:v>
                </c:pt>
                <c:pt idx="220">
                  <c:v>5012.4709999999995</c:v>
                </c:pt>
                <c:pt idx="221">
                  <c:v>10564.8845</c:v>
                </c:pt>
                <c:pt idx="222">
                  <c:v>5253.5240000000003</c:v>
                </c:pt>
                <c:pt idx="223">
                  <c:v>34779.614999999998</c:v>
                </c:pt>
                <c:pt idx="224">
                  <c:v>19515.5416</c:v>
                </c:pt>
                <c:pt idx="225">
                  <c:v>11987.1682</c:v>
                </c:pt>
                <c:pt idx="226">
                  <c:v>2689.4953999999998</c:v>
                </c:pt>
                <c:pt idx="227">
                  <c:v>24227.337240000001</c:v>
                </c:pt>
                <c:pt idx="228">
                  <c:v>7358.1756500000001</c:v>
                </c:pt>
                <c:pt idx="229">
                  <c:v>9225.2564000000002</c:v>
                </c:pt>
                <c:pt idx="230">
                  <c:v>7443.6430499999997</c:v>
                </c:pt>
                <c:pt idx="231">
                  <c:v>14001.286700000001</c:v>
                </c:pt>
                <c:pt idx="232">
                  <c:v>1727.7850000000001</c:v>
                </c:pt>
                <c:pt idx="233">
                  <c:v>12333.828</c:v>
                </c:pt>
                <c:pt idx="234">
                  <c:v>6710.1918999999998</c:v>
                </c:pt>
                <c:pt idx="235">
                  <c:v>19444.265800000001</c:v>
                </c:pt>
                <c:pt idx="236">
                  <c:v>1615.7666999999999</c:v>
                </c:pt>
                <c:pt idx="237">
                  <c:v>4463.2051000000001</c:v>
                </c:pt>
                <c:pt idx="238">
                  <c:v>17352.6803</c:v>
                </c:pt>
                <c:pt idx="239">
                  <c:v>7152.6714000000002</c:v>
                </c:pt>
                <c:pt idx="240">
                  <c:v>38511.628299999997</c:v>
                </c:pt>
                <c:pt idx="241">
                  <c:v>5354.0746499999996</c:v>
                </c:pt>
                <c:pt idx="242">
                  <c:v>35160.134570000002</c:v>
                </c:pt>
                <c:pt idx="243">
                  <c:v>7196.8670000000002</c:v>
                </c:pt>
                <c:pt idx="244">
                  <c:v>29523.1656</c:v>
                </c:pt>
                <c:pt idx="245">
                  <c:v>24476.478510000001</c:v>
                </c:pt>
                <c:pt idx="246">
                  <c:v>12648.7034</c:v>
                </c:pt>
                <c:pt idx="247">
                  <c:v>1986.9333999999999</c:v>
                </c:pt>
                <c:pt idx="248">
                  <c:v>1832.0940000000001</c:v>
                </c:pt>
                <c:pt idx="249">
                  <c:v>4040.55825</c:v>
                </c:pt>
                <c:pt idx="250">
                  <c:v>12829.455099999999</c:v>
                </c:pt>
                <c:pt idx="251">
                  <c:v>47305.305</c:v>
                </c:pt>
                <c:pt idx="252">
                  <c:v>44260.749900000003</c:v>
                </c:pt>
                <c:pt idx="253">
                  <c:v>4260.7439999999997</c:v>
                </c:pt>
                <c:pt idx="254">
                  <c:v>41097.161749999999</c:v>
                </c:pt>
                <c:pt idx="255">
                  <c:v>13047.332350000001</c:v>
                </c:pt>
                <c:pt idx="256">
                  <c:v>43921.183700000001</c:v>
                </c:pt>
                <c:pt idx="257">
                  <c:v>5400.9804999999997</c:v>
                </c:pt>
                <c:pt idx="258">
                  <c:v>11520.099850000001</c:v>
                </c:pt>
                <c:pt idx="259">
                  <c:v>33750.291799999999</c:v>
                </c:pt>
                <c:pt idx="260">
                  <c:v>11837.16</c:v>
                </c:pt>
                <c:pt idx="261">
                  <c:v>17085.267599999999</c:v>
                </c:pt>
                <c:pt idx="262">
                  <c:v>24869.836800000001</c:v>
                </c:pt>
                <c:pt idx="263">
                  <c:v>36219.405449999998</c:v>
                </c:pt>
                <c:pt idx="264">
                  <c:v>20462.997660000001</c:v>
                </c:pt>
                <c:pt idx="265">
                  <c:v>46151.124499999998</c:v>
                </c:pt>
                <c:pt idx="266">
                  <c:v>17179.522000000001</c:v>
                </c:pt>
                <c:pt idx="267">
                  <c:v>14590.63205</c:v>
                </c:pt>
                <c:pt idx="268">
                  <c:v>7441.0529999999999</c:v>
                </c:pt>
                <c:pt idx="269">
                  <c:v>9282.4806000000008</c:v>
                </c:pt>
                <c:pt idx="270">
                  <c:v>1719.4363000000001</c:v>
                </c:pt>
                <c:pt idx="271">
                  <c:v>42856.838000000003</c:v>
                </c:pt>
                <c:pt idx="272">
                  <c:v>7265.7025000000003</c:v>
                </c:pt>
                <c:pt idx="273">
                  <c:v>9617.6624499999998</c:v>
                </c:pt>
                <c:pt idx="274">
                  <c:v>2523.1695</c:v>
                </c:pt>
                <c:pt idx="275">
                  <c:v>9715.8410000000003</c:v>
                </c:pt>
                <c:pt idx="276">
                  <c:v>2803.69785</c:v>
                </c:pt>
                <c:pt idx="277">
                  <c:v>2150.4690000000001</c:v>
                </c:pt>
                <c:pt idx="278">
                  <c:v>12928.7911</c:v>
                </c:pt>
                <c:pt idx="279">
                  <c:v>9855.1314000000002</c:v>
                </c:pt>
                <c:pt idx="280">
                  <c:v>22331.566800000001</c:v>
                </c:pt>
                <c:pt idx="281">
                  <c:v>48549.178350000002</c:v>
                </c:pt>
                <c:pt idx="282">
                  <c:v>4237.12655</c:v>
                </c:pt>
                <c:pt idx="283">
                  <c:v>11879.10405</c:v>
                </c:pt>
                <c:pt idx="284">
                  <c:v>9625.92</c:v>
                </c:pt>
                <c:pt idx="285">
                  <c:v>7742.1098000000002</c:v>
                </c:pt>
                <c:pt idx="286">
                  <c:v>9432.9253000000008</c:v>
                </c:pt>
                <c:pt idx="287">
                  <c:v>14256.192800000001</c:v>
                </c:pt>
                <c:pt idx="288">
                  <c:v>47896.79135</c:v>
                </c:pt>
                <c:pt idx="289">
                  <c:v>25992.821039999999</c:v>
                </c:pt>
                <c:pt idx="290">
                  <c:v>3172.018</c:v>
                </c:pt>
                <c:pt idx="291">
                  <c:v>20277.807509999999</c:v>
                </c:pt>
                <c:pt idx="292">
                  <c:v>42112.2356</c:v>
                </c:pt>
                <c:pt idx="293">
                  <c:v>2156.7518</c:v>
                </c:pt>
                <c:pt idx="294">
                  <c:v>3906.127</c:v>
                </c:pt>
                <c:pt idx="295">
                  <c:v>1704.5681</c:v>
                </c:pt>
                <c:pt idx="296">
                  <c:v>16297.846</c:v>
                </c:pt>
                <c:pt idx="297">
                  <c:v>21978.676899999999</c:v>
                </c:pt>
                <c:pt idx="298">
                  <c:v>38746.355100000001</c:v>
                </c:pt>
                <c:pt idx="299">
                  <c:v>9249.4951999999994</c:v>
                </c:pt>
                <c:pt idx="300">
                  <c:v>6746.7425000000003</c:v>
                </c:pt>
                <c:pt idx="301">
                  <c:v>24873.384900000001</c:v>
                </c:pt>
                <c:pt idx="302">
                  <c:v>12265.5069</c:v>
                </c:pt>
                <c:pt idx="303">
                  <c:v>4349.4620000000004</c:v>
                </c:pt>
                <c:pt idx="304">
                  <c:v>12646.207</c:v>
                </c:pt>
                <c:pt idx="305">
                  <c:v>19442.353500000001</c:v>
                </c:pt>
                <c:pt idx="306">
                  <c:v>20177.671129999999</c:v>
                </c:pt>
                <c:pt idx="307">
                  <c:v>4151.0286999999998</c:v>
                </c:pt>
                <c:pt idx="308">
                  <c:v>11944.594349999999</c:v>
                </c:pt>
                <c:pt idx="309">
                  <c:v>7749.1563999999998</c:v>
                </c:pt>
                <c:pt idx="310">
                  <c:v>8444.4740000000002</c:v>
                </c:pt>
                <c:pt idx="311">
                  <c:v>1737.376</c:v>
                </c:pt>
                <c:pt idx="312">
                  <c:v>42124.515299999999</c:v>
                </c:pt>
                <c:pt idx="313">
                  <c:v>8124.4084000000003</c:v>
                </c:pt>
                <c:pt idx="314">
                  <c:v>34838.873</c:v>
                </c:pt>
                <c:pt idx="315">
                  <c:v>9722.7695000000003</c:v>
                </c:pt>
                <c:pt idx="316">
                  <c:v>8835.2649500000007</c:v>
                </c:pt>
                <c:pt idx="317">
                  <c:v>10435.06525</c:v>
                </c:pt>
                <c:pt idx="318">
                  <c:v>7421.1945500000002</c:v>
                </c:pt>
                <c:pt idx="319">
                  <c:v>4667.6076499999999</c:v>
                </c:pt>
                <c:pt idx="320">
                  <c:v>4894.7533000000003</c:v>
                </c:pt>
                <c:pt idx="321">
                  <c:v>24671.663339999999</c:v>
                </c:pt>
                <c:pt idx="322">
                  <c:v>35491.64</c:v>
                </c:pt>
                <c:pt idx="323">
                  <c:v>11566.30055</c:v>
                </c:pt>
                <c:pt idx="324">
                  <c:v>2866.0909999999999</c:v>
                </c:pt>
                <c:pt idx="325">
                  <c:v>6600.2059499999996</c:v>
                </c:pt>
                <c:pt idx="326">
                  <c:v>3561.8888999999999</c:v>
                </c:pt>
                <c:pt idx="327">
                  <c:v>42760.502200000003</c:v>
                </c:pt>
                <c:pt idx="328">
                  <c:v>47928.03</c:v>
                </c:pt>
                <c:pt idx="329">
                  <c:v>9144.5650000000005</c:v>
                </c:pt>
                <c:pt idx="330">
                  <c:v>48517.563150000002</c:v>
                </c:pt>
                <c:pt idx="331">
                  <c:v>24393.6224</c:v>
                </c:pt>
                <c:pt idx="332">
                  <c:v>13429.035400000001</c:v>
                </c:pt>
                <c:pt idx="333">
                  <c:v>11658.379150000001</c:v>
                </c:pt>
                <c:pt idx="334">
                  <c:v>19144.576519999999</c:v>
                </c:pt>
                <c:pt idx="335">
                  <c:v>13822.803</c:v>
                </c:pt>
                <c:pt idx="336">
                  <c:v>12142.578600000001</c:v>
                </c:pt>
                <c:pt idx="337">
                  <c:v>13937.666499999999</c:v>
                </c:pt>
                <c:pt idx="338">
                  <c:v>41919.097000000002</c:v>
                </c:pt>
                <c:pt idx="339">
                  <c:v>8232.6388000000006</c:v>
                </c:pt>
                <c:pt idx="340">
                  <c:v>18955.220170000001</c:v>
                </c:pt>
                <c:pt idx="341">
                  <c:v>13352.0998</c:v>
                </c:pt>
                <c:pt idx="342">
                  <c:v>13217.094499999999</c:v>
                </c:pt>
                <c:pt idx="343">
                  <c:v>13981.850350000001</c:v>
                </c:pt>
                <c:pt idx="344">
                  <c:v>10977.2063</c:v>
                </c:pt>
                <c:pt idx="345">
                  <c:v>6184.2993999999999</c:v>
                </c:pt>
                <c:pt idx="346">
                  <c:v>4889.9994999999999</c:v>
                </c:pt>
                <c:pt idx="347">
                  <c:v>8334.4575499999992</c:v>
                </c:pt>
                <c:pt idx="348">
                  <c:v>5478.0367999999999</c:v>
                </c:pt>
                <c:pt idx="349">
                  <c:v>1635.7336499999999</c:v>
                </c:pt>
                <c:pt idx="350">
                  <c:v>11830.6072</c:v>
                </c:pt>
                <c:pt idx="351">
                  <c:v>8932.0840000000007</c:v>
                </c:pt>
                <c:pt idx="352">
                  <c:v>3554.203</c:v>
                </c:pt>
                <c:pt idx="353">
                  <c:v>12404.8791</c:v>
                </c:pt>
                <c:pt idx="354">
                  <c:v>14133.03775</c:v>
                </c:pt>
                <c:pt idx="355">
                  <c:v>24603.04837</c:v>
                </c:pt>
                <c:pt idx="356">
                  <c:v>8944.1151000000009</c:v>
                </c:pt>
                <c:pt idx="357">
                  <c:v>9620.3307000000004</c:v>
                </c:pt>
                <c:pt idx="358">
                  <c:v>1837.2819</c:v>
                </c:pt>
                <c:pt idx="359">
                  <c:v>1607.5101</c:v>
                </c:pt>
                <c:pt idx="360">
                  <c:v>10043.249</c:v>
                </c:pt>
                <c:pt idx="361">
                  <c:v>4751.07</c:v>
                </c:pt>
                <c:pt idx="362">
                  <c:v>13844.505999999999</c:v>
                </c:pt>
                <c:pt idx="363">
                  <c:v>2597.779</c:v>
                </c:pt>
                <c:pt idx="364">
                  <c:v>3180.5101</c:v>
                </c:pt>
                <c:pt idx="365">
                  <c:v>9778.3472000000002</c:v>
                </c:pt>
                <c:pt idx="366">
                  <c:v>13430.264999999999</c:v>
                </c:pt>
                <c:pt idx="367">
                  <c:v>8017.0611500000005</c:v>
                </c:pt>
                <c:pt idx="368">
                  <c:v>8116.2688500000004</c:v>
                </c:pt>
                <c:pt idx="369">
                  <c:v>3481.8679999999999</c:v>
                </c:pt>
                <c:pt idx="370">
                  <c:v>13415.0381</c:v>
                </c:pt>
                <c:pt idx="371">
                  <c:v>12029.286700000001</c:v>
                </c:pt>
                <c:pt idx="372">
                  <c:v>7639.4174499999999</c:v>
                </c:pt>
                <c:pt idx="373">
                  <c:v>36085.218999999997</c:v>
                </c:pt>
                <c:pt idx="374">
                  <c:v>1391.5287000000001</c:v>
                </c:pt>
                <c:pt idx="375">
                  <c:v>18033.9679</c:v>
                </c:pt>
                <c:pt idx="376">
                  <c:v>21659.930100000001</c:v>
                </c:pt>
                <c:pt idx="377">
                  <c:v>38126.246500000001</c:v>
                </c:pt>
                <c:pt idx="378">
                  <c:v>16455.707849999999</c:v>
                </c:pt>
                <c:pt idx="379">
                  <c:v>27000.98473</c:v>
                </c:pt>
                <c:pt idx="380">
                  <c:v>15006.579449999999</c:v>
                </c:pt>
                <c:pt idx="381">
                  <c:v>42303.692150000003</c:v>
                </c:pt>
                <c:pt idx="382">
                  <c:v>20781.48892</c:v>
                </c:pt>
                <c:pt idx="383">
                  <c:v>5846.9175999999998</c:v>
                </c:pt>
                <c:pt idx="384">
                  <c:v>8302.5356499999998</c:v>
                </c:pt>
                <c:pt idx="385">
                  <c:v>1261.8589999999999</c:v>
                </c:pt>
                <c:pt idx="386">
                  <c:v>11856.4115</c:v>
                </c:pt>
                <c:pt idx="387">
                  <c:v>30284.642940000002</c:v>
                </c:pt>
                <c:pt idx="388">
                  <c:v>3176.8159000000001</c:v>
                </c:pt>
                <c:pt idx="389">
                  <c:v>4618.0798999999997</c:v>
                </c:pt>
                <c:pt idx="390">
                  <c:v>10736.87075</c:v>
                </c:pt>
                <c:pt idx="391">
                  <c:v>2138.0707000000002</c:v>
                </c:pt>
                <c:pt idx="392">
                  <c:v>8964.0605500000001</c:v>
                </c:pt>
                <c:pt idx="393">
                  <c:v>9290.1394999999993</c:v>
                </c:pt>
                <c:pt idx="394">
                  <c:v>9411.0049999999992</c:v>
                </c:pt>
                <c:pt idx="395">
                  <c:v>7526.7064499999997</c:v>
                </c:pt>
                <c:pt idx="396">
                  <c:v>8522.0030000000006</c:v>
                </c:pt>
                <c:pt idx="397">
                  <c:v>16586.49771</c:v>
                </c:pt>
                <c:pt idx="398">
                  <c:v>14988.432000000001</c:v>
                </c:pt>
                <c:pt idx="399">
                  <c:v>1631.6683</c:v>
                </c:pt>
                <c:pt idx="400">
                  <c:v>9264.7970000000005</c:v>
                </c:pt>
                <c:pt idx="401">
                  <c:v>8083.9197999999997</c:v>
                </c:pt>
                <c:pt idx="402">
                  <c:v>14692.66935</c:v>
                </c:pt>
                <c:pt idx="403">
                  <c:v>10269.459999999999</c:v>
                </c:pt>
                <c:pt idx="404">
                  <c:v>3260.1990000000001</c:v>
                </c:pt>
                <c:pt idx="405">
                  <c:v>11396.9002</c:v>
                </c:pt>
                <c:pt idx="406">
                  <c:v>4185.0978999999998</c:v>
                </c:pt>
                <c:pt idx="407">
                  <c:v>8539.6710000000003</c:v>
                </c:pt>
                <c:pt idx="408">
                  <c:v>6652.5288</c:v>
                </c:pt>
                <c:pt idx="409">
                  <c:v>4074.4537</c:v>
                </c:pt>
                <c:pt idx="410">
                  <c:v>1621.3402000000001</c:v>
                </c:pt>
                <c:pt idx="411">
                  <c:v>19594.809649999999</c:v>
                </c:pt>
                <c:pt idx="412">
                  <c:v>14455.644050000001</c:v>
                </c:pt>
                <c:pt idx="413">
                  <c:v>5080.0959999999995</c:v>
                </c:pt>
                <c:pt idx="414">
                  <c:v>2134.9014999999999</c:v>
                </c:pt>
                <c:pt idx="415">
                  <c:v>7345.7266</c:v>
                </c:pt>
                <c:pt idx="416">
                  <c:v>9140.9509999999991</c:v>
                </c:pt>
                <c:pt idx="417">
                  <c:v>18608.261999999999</c:v>
                </c:pt>
                <c:pt idx="418">
                  <c:v>14418.2804</c:v>
                </c:pt>
                <c:pt idx="419">
                  <c:v>28950.4692</c:v>
                </c:pt>
                <c:pt idx="420">
                  <c:v>46889.261200000001</c:v>
                </c:pt>
                <c:pt idx="421">
                  <c:v>46599.108399999997</c:v>
                </c:pt>
                <c:pt idx="422">
                  <c:v>39125.332249999999</c:v>
                </c:pt>
                <c:pt idx="423">
                  <c:v>2727.3951000000002</c:v>
                </c:pt>
                <c:pt idx="424">
                  <c:v>8968.33</c:v>
                </c:pt>
                <c:pt idx="425">
                  <c:v>9788.8659000000007</c:v>
                </c:pt>
                <c:pt idx="426">
                  <c:v>6555.07035</c:v>
                </c:pt>
                <c:pt idx="427">
                  <c:v>7323.7348190000002</c:v>
                </c:pt>
                <c:pt idx="428">
                  <c:v>3167.4558499999998</c:v>
                </c:pt>
                <c:pt idx="429">
                  <c:v>18804.752400000001</c:v>
                </c:pt>
                <c:pt idx="430">
                  <c:v>23082.955330000001</c:v>
                </c:pt>
                <c:pt idx="431">
                  <c:v>4906.4096499999996</c:v>
                </c:pt>
                <c:pt idx="432">
                  <c:v>5969.723</c:v>
                </c:pt>
                <c:pt idx="433">
                  <c:v>12638.195</c:v>
                </c:pt>
                <c:pt idx="434">
                  <c:v>4243.5900499999998</c:v>
                </c:pt>
                <c:pt idx="435">
                  <c:v>13919.822899999999</c:v>
                </c:pt>
                <c:pt idx="436">
                  <c:v>2254.7966999999999</c:v>
                </c:pt>
                <c:pt idx="437">
                  <c:v>5926.8459999999995</c:v>
                </c:pt>
                <c:pt idx="438">
                  <c:v>12592.5345</c:v>
                </c:pt>
                <c:pt idx="439">
                  <c:v>2897.3235</c:v>
                </c:pt>
                <c:pt idx="440">
                  <c:v>4738.2682000000004</c:v>
                </c:pt>
                <c:pt idx="441">
                  <c:v>37079.372000000003</c:v>
                </c:pt>
                <c:pt idx="442">
                  <c:v>1149.3959</c:v>
                </c:pt>
                <c:pt idx="443">
                  <c:v>28287.897659999999</c:v>
                </c:pt>
                <c:pt idx="444">
                  <c:v>26109.32905</c:v>
                </c:pt>
                <c:pt idx="445">
                  <c:v>7345.0839999999998</c:v>
                </c:pt>
                <c:pt idx="446">
                  <c:v>12730.999599999999</c:v>
                </c:pt>
                <c:pt idx="447">
                  <c:v>11454.021500000001</c:v>
                </c:pt>
                <c:pt idx="448">
                  <c:v>5910.9440000000004</c:v>
                </c:pt>
                <c:pt idx="449">
                  <c:v>4762.3289999999997</c:v>
                </c:pt>
                <c:pt idx="450">
                  <c:v>7512.2669999999998</c:v>
                </c:pt>
                <c:pt idx="451">
                  <c:v>4032.2406999999998</c:v>
                </c:pt>
                <c:pt idx="452">
                  <c:v>1969.614</c:v>
                </c:pt>
                <c:pt idx="453">
                  <c:v>1769.5316499999999</c:v>
                </c:pt>
                <c:pt idx="454">
                  <c:v>4686.3887000000004</c:v>
                </c:pt>
                <c:pt idx="455">
                  <c:v>21797.000400000001</c:v>
                </c:pt>
                <c:pt idx="456">
                  <c:v>11881.9696</c:v>
                </c:pt>
                <c:pt idx="457">
                  <c:v>11840.77505</c:v>
                </c:pt>
                <c:pt idx="458">
                  <c:v>10601.412</c:v>
                </c:pt>
                <c:pt idx="459">
                  <c:v>7682.67</c:v>
                </c:pt>
                <c:pt idx="460">
                  <c:v>10381.4787</c:v>
                </c:pt>
                <c:pt idx="461">
                  <c:v>22144.031999999999</c:v>
                </c:pt>
                <c:pt idx="462">
                  <c:v>15230.324049999999</c:v>
                </c:pt>
                <c:pt idx="463">
                  <c:v>11165.417649999999</c:v>
                </c:pt>
                <c:pt idx="464">
                  <c:v>1632.0362500000001</c:v>
                </c:pt>
                <c:pt idx="465">
                  <c:v>19521.968199999999</c:v>
                </c:pt>
                <c:pt idx="466">
                  <c:v>13224.692999999999</c:v>
                </c:pt>
                <c:pt idx="467">
                  <c:v>12643.3778</c:v>
                </c:pt>
                <c:pt idx="468">
                  <c:v>23288.928400000001</c:v>
                </c:pt>
                <c:pt idx="469">
                  <c:v>2201.0971</c:v>
                </c:pt>
                <c:pt idx="470">
                  <c:v>2497.0383000000002</c:v>
                </c:pt>
                <c:pt idx="471">
                  <c:v>2203.4718499999999</c:v>
                </c:pt>
                <c:pt idx="472">
                  <c:v>1744.4649999999999</c:v>
                </c:pt>
                <c:pt idx="473">
                  <c:v>20878.78443</c:v>
                </c:pt>
                <c:pt idx="474">
                  <c:v>25382.296999999999</c:v>
                </c:pt>
                <c:pt idx="475">
                  <c:v>28868.6639</c:v>
                </c:pt>
                <c:pt idx="476">
                  <c:v>35147.528480000001</c:v>
                </c:pt>
                <c:pt idx="477">
                  <c:v>2534.3937500000002</c:v>
                </c:pt>
                <c:pt idx="478">
                  <c:v>1534.3045</c:v>
                </c:pt>
                <c:pt idx="479">
                  <c:v>1824.2854</c:v>
                </c:pt>
                <c:pt idx="480">
                  <c:v>15555.188749999999</c:v>
                </c:pt>
                <c:pt idx="481">
                  <c:v>9304.7019</c:v>
                </c:pt>
                <c:pt idx="482">
                  <c:v>1622.1885</c:v>
                </c:pt>
                <c:pt idx="483">
                  <c:v>9880.0679999999993</c:v>
                </c:pt>
                <c:pt idx="484">
                  <c:v>9563.0290000000005</c:v>
                </c:pt>
                <c:pt idx="485">
                  <c:v>4347.0233500000004</c:v>
                </c:pt>
                <c:pt idx="486">
                  <c:v>12475.3513</c:v>
                </c:pt>
                <c:pt idx="487">
                  <c:v>1253.9359999999999</c:v>
                </c:pt>
                <c:pt idx="488">
                  <c:v>48885.135609999998</c:v>
                </c:pt>
                <c:pt idx="489">
                  <c:v>10461.9794</c:v>
                </c:pt>
                <c:pt idx="490">
                  <c:v>1748.7739999999999</c:v>
                </c:pt>
                <c:pt idx="491">
                  <c:v>24513.091260000001</c:v>
                </c:pt>
                <c:pt idx="492">
                  <c:v>2196.4731999999999</c:v>
                </c:pt>
                <c:pt idx="493">
                  <c:v>12574.049000000001</c:v>
                </c:pt>
                <c:pt idx="494">
                  <c:v>17942.106</c:v>
                </c:pt>
                <c:pt idx="495">
                  <c:v>1967.0227</c:v>
                </c:pt>
                <c:pt idx="496">
                  <c:v>4931.6469999999999</c:v>
                </c:pt>
                <c:pt idx="497">
                  <c:v>8027.9679999999998</c:v>
                </c:pt>
                <c:pt idx="498">
                  <c:v>8211.1002000000008</c:v>
                </c:pt>
                <c:pt idx="499">
                  <c:v>13470.86</c:v>
                </c:pt>
                <c:pt idx="500">
                  <c:v>36197.699000000001</c:v>
                </c:pt>
                <c:pt idx="501">
                  <c:v>6837.3687</c:v>
                </c:pt>
                <c:pt idx="502">
                  <c:v>22218.1149</c:v>
                </c:pt>
                <c:pt idx="503">
                  <c:v>32548.340499999998</c:v>
                </c:pt>
                <c:pt idx="504">
                  <c:v>5974.3846999999996</c:v>
                </c:pt>
                <c:pt idx="505">
                  <c:v>6796.8632500000003</c:v>
                </c:pt>
                <c:pt idx="506">
                  <c:v>2643.2685000000001</c:v>
                </c:pt>
                <c:pt idx="507">
                  <c:v>3077.0954999999999</c:v>
                </c:pt>
                <c:pt idx="508">
                  <c:v>3044.2132999999999</c:v>
                </c:pt>
                <c:pt idx="509">
                  <c:v>11455.28</c:v>
                </c:pt>
                <c:pt idx="510">
                  <c:v>11763.000899999999</c:v>
                </c:pt>
                <c:pt idx="511">
                  <c:v>2498.4144000000001</c:v>
                </c:pt>
                <c:pt idx="512">
                  <c:v>9361.3268000000007</c:v>
                </c:pt>
                <c:pt idx="513">
                  <c:v>1256.299</c:v>
                </c:pt>
                <c:pt idx="514">
                  <c:v>21082.16</c:v>
                </c:pt>
                <c:pt idx="515">
                  <c:v>11362.754999999999</c:v>
                </c:pt>
                <c:pt idx="516">
                  <c:v>27724.28875</c:v>
                </c:pt>
                <c:pt idx="517">
                  <c:v>8413.4630500000003</c:v>
                </c:pt>
                <c:pt idx="518">
                  <c:v>5240.7650000000003</c:v>
                </c:pt>
                <c:pt idx="519">
                  <c:v>3857.7592500000001</c:v>
                </c:pt>
                <c:pt idx="520">
                  <c:v>25656.575260000001</c:v>
                </c:pt>
                <c:pt idx="521">
                  <c:v>3994.1777999999999</c:v>
                </c:pt>
                <c:pt idx="522">
                  <c:v>9866.3048500000004</c:v>
                </c:pt>
                <c:pt idx="523">
                  <c:v>5397.6166999999996</c:v>
                </c:pt>
                <c:pt idx="524">
                  <c:v>38245.593269999998</c:v>
                </c:pt>
                <c:pt idx="525">
                  <c:v>11482.63485</c:v>
                </c:pt>
                <c:pt idx="526">
                  <c:v>24059.680189999999</c:v>
                </c:pt>
                <c:pt idx="527">
                  <c:v>9861.0249999999996</c:v>
                </c:pt>
                <c:pt idx="528">
                  <c:v>8342.9087500000005</c:v>
                </c:pt>
                <c:pt idx="529">
                  <c:v>1708.0014000000001</c:v>
                </c:pt>
                <c:pt idx="530">
                  <c:v>48675.517699999997</c:v>
                </c:pt>
                <c:pt idx="531">
                  <c:v>14043.476699999999</c:v>
                </c:pt>
                <c:pt idx="532">
                  <c:v>12925.886</c:v>
                </c:pt>
                <c:pt idx="533">
                  <c:v>19214.705529999999</c:v>
                </c:pt>
                <c:pt idx="534">
                  <c:v>13831.1152</c:v>
                </c:pt>
                <c:pt idx="535">
                  <c:v>6067.1267500000004</c:v>
                </c:pt>
                <c:pt idx="536">
                  <c:v>5972.3779999999997</c:v>
                </c:pt>
                <c:pt idx="537">
                  <c:v>8825.0859999999993</c:v>
                </c:pt>
                <c:pt idx="538">
                  <c:v>8233.0974999999999</c:v>
                </c:pt>
                <c:pt idx="539">
                  <c:v>27346.04207</c:v>
                </c:pt>
                <c:pt idx="540">
                  <c:v>6196.4480000000003</c:v>
                </c:pt>
                <c:pt idx="541">
                  <c:v>3056.3881000000001</c:v>
                </c:pt>
                <c:pt idx="542">
                  <c:v>13887.204</c:v>
                </c:pt>
                <c:pt idx="543">
                  <c:v>63770.428010000003</c:v>
                </c:pt>
                <c:pt idx="544">
                  <c:v>10231.499900000001</c:v>
                </c:pt>
                <c:pt idx="545">
                  <c:v>23807.240600000001</c:v>
                </c:pt>
                <c:pt idx="546">
                  <c:v>3268.84665</c:v>
                </c:pt>
                <c:pt idx="547">
                  <c:v>11538.421</c:v>
                </c:pt>
                <c:pt idx="548">
                  <c:v>3213.6220499999999</c:v>
                </c:pt>
                <c:pt idx="549">
                  <c:v>45863.205000000002</c:v>
                </c:pt>
                <c:pt idx="550">
                  <c:v>13390.558999999999</c:v>
                </c:pt>
                <c:pt idx="551">
                  <c:v>3972.9247</c:v>
                </c:pt>
                <c:pt idx="552">
                  <c:v>12957.118</c:v>
                </c:pt>
                <c:pt idx="553">
                  <c:v>11187.6567</c:v>
                </c:pt>
                <c:pt idx="554">
                  <c:v>17878.900679999999</c:v>
                </c:pt>
                <c:pt idx="555">
                  <c:v>3847.674</c:v>
                </c:pt>
                <c:pt idx="556">
                  <c:v>8334.5895999999993</c:v>
                </c:pt>
                <c:pt idx="557">
                  <c:v>3935.1799000000001</c:v>
                </c:pt>
                <c:pt idx="558">
                  <c:v>39983.425949999997</c:v>
                </c:pt>
                <c:pt idx="559">
                  <c:v>1646.4296999999999</c:v>
                </c:pt>
                <c:pt idx="560">
                  <c:v>9193.8384999999998</c:v>
                </c:pt>
                <c:pt idx="561">
                  <c:v>10923.933199999999</c:v>
                </c:pt>
                <c:pt idx="562">
                  <c:v>2494.0219999999999</c:v>
                </c:pt>
                <c:pt idx="563">
                  <c:v>9058.7302999999993</c:v>
                </c:pt>
                <c:pt idx="564">
                  <c:v>2801.2588000000001</c:v>
                </c:pt>
                <c:pt idx="565">
                  <c:v>2128.4310500000001</c:v>
                </c:pt>
                <c:pt idx="566">
                  <c:v>6373.55735</c:v>
                </c:pt>
                <c:pt idx="567">
                  <c:v>7256.7231000000002</c:v>
                </c:pt>
                <c:pt idx="568">
                  <c:v>11552.904</c:v>
                </c:pt>
                <c:pt idx="569">
                  <c:v>45702.022349999999</c:v>
                </c:pt>
                <c:pt idx="570">
                  <c:v>3761.2919999999999</c:v>
                </c:pt>
                <c:pt idx="571">
                  <c:v>2219.4450999999999</c:v>
                </c:pt>
                <c:pt idx="572">
                  <c:v>4753.6368000000002</c:v>
                </c:pt>
                <c:pt idx="573">
                  <c:v>31620.001059999999</c:v>
                </c:pt>
                <c:pt idx="574">
                  <c:v>13224.057049999999</c:v>
                </c:pt>
                <c:pt idx="575">
                  <c:v>12222.898300000001</c:v>
                </c:pt>
                <c:pt idx="576">
                  <c:v>1664.9996000000001</c:v>
                </c:pt>
                <c:pt idx="577">
                  <c:v>58571.074480000003</c:v>
                </c:pt>
                <c:pt idx="578">
                  <c:v>9724.5300000000007</c:v>
                </c:pt>
                <c:pt idx="579">
                  <c:v>3206.4913499999998</c:v>
                </c:pt>
                <c:pt idx="580">
                  <c:v>12913.992399999999</c:v>
                </c:pt>
                <c:pt idx="581">
                  <c:v>1639.5631000000001</c:v>
                </c:pt>
                <c:pt idx="582">
                  <c:v>6356.2707</c:v>
                </c:pt>
                <c:pt idx="583">
                  <c:v>17626.239509999999</c:v>
                </c:pt>
                <c:pt idx="584">
                  <c:v>1242.816</c:v>
                </c:pt>
                <c:pt idx="585">
                  <c:v>4779.6022999999996</c:v>
                </c:pt>
                <c:pt idx="586">
                  <c:v>3861.2096499999998</c:v>
                </c:pt>
                <c:pt idx="587">
                  <c:v>43943.876100000001</c:v>
                </c:pt>
                <c:pt idx="588">
                  <c:v>13635.6379</c:v>
                </c:pt>
                <c:pt idx="589">
                  <c:v>5976.8311000000003</c:v>
                </c:pt>
                <c:pt idx="590">
                  <c:v>11842.441999999999</c:v>
                </c:pt>
                <c:pt idx="591">
                  <c:v>8428.0692999999992</c:v>
                </c:pt>
                <c:pt idx="592">
                  <c:v>2566.4706999999999</c:v>
                </c:pt>
                <c:pt idx="593">
                  <c:v>15359.104499999999</c:v>
                </c:pt>
                <c:pt idx="594">
                  <c:v>5709.1643999999997</c:v>
                </c:pt>
                <c:pt idx="595">
                  <c:v>8823.9857499999998</c:v>
                </c:pt>
                <c:pt idx="596">
                  <c:v>7640.3091999999997</c:v>
                </c:pt>
                <c:pt idx="597">
                  <c:v>5594.8455000000004</c:v>
                </c:pt>
                <c:pt idx="598">
                  <c:v>7441.5010000000002</c:v>
                </c:pt>
                <c:pt idx="599">
                  <c:v>33471.971890000001</c:v>
                </c:pt>
                <c:pt idx="600">
                  <c:v>1633.0444</c:v>
                </c:pt>
                <c:pt idx="601">
                  <c:v>9174.1356500000002</c:v>
                </c:pt>
                <c:pt idx="602">
                  <c:v>11070.535</c:v>
                </c:pt>
                <c:pt idx="603">
                  <c:v>16085.127500000001</c:v>
                </c:pt>
                <c:pt idx="604">
                  <c:v>17468.983899999999</c:v>
                </c:pt>
                <c:pt idx="605">
                  <c:v>9283.5619999999999</c:v>
                </c:pt>
                <c:pt idx="606">
                  <c:v>3558.6202499999999</c:v>
                </c:pt>
                <c:pt idx="607">
                  <c:v>25678.778450000002</c:v>
                </c:pt>
                <c:pt idx="608">
                  <c:v>4435.0941999999995</c:v>
                </c:pt>
                <c:pt idx="609">
                  <c:v>39241.442000000003</c:v>
                </c:pt>
                <c:pt idx="610">
                  <c:v>8547.6913000000004</c:v>
                </c:pt>
                <c:pt idx="611">
                  <c:v>6571.5439999999999</c:v>
                </c:pt>
                <c:pt idx="612">
                  <c:v>2207.6974500000001</c:v>
                </c:pt>
                <c:pt idx="613">
                  <c:v>6753.0379999999996</c:v>
                </c:pt>
                <c:pt idx="614">
                  <c:v>1880.07</c:v>
                </c:pt>
                <c:pt idx="615">
                  <c:v>42969.852700000003</c:v>
                </c:pt>
                <c:pt idx="616">
                  <c:v>11658.11505</c:v>
                </c:pt>
                <c:pt idx="617">
                  <c:v>23306.546999999999</c:v>
                </c:pt>
                <c:pt idx="618">
                  <c:v>34439.855900000002</c:v>
                </c:pt>
                <c:pt idx="619">
                  <c:v>10713.644</c:v>
                </c:pt>
                <c:pt idx="620">
                  <c:v>3659.346</c:v>
                </c:pt>
                <c:pt idx="621">
                  <c:v>40182.245999999999</c:v>
                </c:pt>
                <c:pt idx="622">
                  <c:v>9182.17</c:v>
                </c:pt>
                <c:pt idx="623">
                  <c:v>34617.840649999998</c:v>
                </c:pt>
                <c:pt idx="624">
                  <c:v>12129.614149999999</c:v>
                </c:pt>
                <c:pt idx="625">
                  <c:v>3736.4647</c:v>
                </c:pt>
                <c:pt idx="626">
                  <c:v>6748.5911999999998</c:v>
                </c:pt>
                <c:pt idx="627">
                  <c:v>11326.71487</c:v>
                </c:pt>
                <c:pt idx="628">
                  <c:v>11365.951999999999</c:v>
                </c:pt>
                <c:pt idx="629">
                  <c:v>42983.458500000001</c:v>
                </c:pt>
                <c:pt idx="630">
                  <c:v>10085.846</c:v>
                </c:pt>
                <c:pt idx="631">
                  <c:v>1977.8150000000001</c:v>
                </c:pt>
                <c:pt idx="632">
                  <c:v>3366.6696999999999</c:v>
                </c:pt>
                <c:pt idx="633">
                  <c:v>7173.35995</c:v>
                </c:pt>
                <c:pt idx="634">
                  <c:v>9391.3459999999995</c:v>
                </c:pt>
                <c:pt idx="635">
                  <c:v>14410.9321</c:v>
                </c:pt>
                <c:pt idx="636">
                  <c:v>2709.1118999999999</c:v>
                </c:pt>
                <c:pt idx="637">
                  <c:v>24915.046259999999</c:v>
                </c:pt>
                <c:pt idx="638">
                  <c:v>20149.322899999999</c:v>
                </c:pt>
                <c:pt idx="639">
                  <c:v>12949.1554</c:v>
                </c:pt>
                <c:pt idx="640">
                  <c:v>6666.2430000000004</c:v>
                </c:pt>
                <c:pt idx="641">
                  <c:v>32787.458590000002</c:v>
                </c:pt>
                <c:pt idx="642">
                  <c:v>13143.86485</c:v>
                </c:pt>
                <c:pt idx="643">
                  <c:v>4466.6214</c:v>
                </c:pt>
                <c:pt idx="644">
                  <c:v>18806.145469999999</c:v>
                </c:pt>
                <c:pt idx="645">
                  <c:v>10141.136200000001</c:v>
                </c:pt>
                <c:pt idx="646">
                  <c:v>6123.5688</c:v>
                </c:pt>
                <c:pt idx="647">
                  <c:v>8252.2842999999993</c:v>
                </c:pt>
                <c:pt idx="648">
                  <c:v>1712.2270000000001</c:v>
                </c:pt>
                <c:pt idx="649">
                  <c:v>12430.95335</c:v>
                </c:pt>
                <c:pt idx="650">
                  <c:v>9800.8881999999994</c:v>
                </c:pt>
                <c:pt idx="651">
                  <c:v>10579.710999999999</c:v>
                </c:pt>
                <c:pt idx="652">
                  <c:v>8280.6226999999999</c:v>
                </c:pt>
                <c:pt idx="653">
                  <c:v>8527.5319999999992</c:v>
                </c:pt>
                <c:pt idx="654">
                  <c:v>12244.531000000001</c:v>
                </c:pt>
                <c:pt idx="655">
                  <c:v>24667.419000000002</c:v>
                </c:pt>
                <c:pt idx="656">
                  <c:v>3410.3240000000001</c:v>
                </c:pt>
                <c:pt idx="657">
                  <c:v>4058.71245</c:v>
                </c:pt>
                <c:pt idx="658">
                  <c:v>26392.260289999998</c:v>
                </c:pt>
                <c:pt idx="659">
                  <c:v>14394.398150000001</c:v>
                </c:pt>
                <c:pt idx="660">
                  <c:v>6435.6237000000001</c:v>
                </c:pt>
                <c:pt idx="661">
                  <c:v>22192.437109999999</c:v>
                </c:pt>
                <c:pt idx="662">
                  <c:v>5148.5526</c:v>
                </c:pt>
                <c:pt idx="663">
                  <c:v>1136.3994</c:v>
                </c:pt>
                <c:pt idx="664">
                  <c:v>27037.914100000002</c:v>
                </c:pt>
                <c:pt idx="665">
                  <c:v>42560.430399999997</c:v>
                </c:pt>
                <c:pt idx="666">
                  <c:v>8703.4560000000001</c:v>
                </c:pt>
                <c:pt idx="667">
                  <c:v>40003.332249999999</c:v>
                </c:pt>
                <c:pt idx="668">
                  <c:v>45710.207849999999</c:v>
                </c:pt>
                <c:pt idx="669">
                  <c:v>6500.2358999999997</c:v>
                </c:pt>
                <c:pt idx="670">
                  <c:v>4837.5823</c:v>
                </c:pt>
                <c:pt idx="671">
                  <c:v>3943.5954000000002</c:v>
                </c:pt>
                <c:pt idx="672">
                  <c:v>4399.7309999999998</c:v>
                </c:pt>
                <c:pt idx="673">
                  <c:v>6185.3208000000004</c:v>
                </c:pt>
                <c:pt idx="674">
                  <c:v>46200.985099999998</c:v>
                </c:pt>
                <c:pt idx="675">
                  <c:v>7222.7862500000001</c:v>
                </c:pt>
                <c:pt idx="676">
                  <c:v>12485.8009</c:v>
                </c:pt>
                <c:pt idx="677">
                  <c:v>46130.5265</c:v>
                </c:pt>
                <c:pt idx="678">
                  <c:v>12363.547</c:v>
                </c:pt>
                <c:pt idx="679">
                  <c:v>10156.7832</c:v>
                </c:pt>
                <c:pt idx="680">
                  <c:v>2585.2689999999998</c:v>
                </c:pt>
                <c:pt idx="681">
                  <c:v>1242.26</c:v>
                </c:pt>
                <c:pt idx="682">
                  <c:v>40103.89</c:v>
                </c:pt>
                <c:pt idx="683">
                  <c:v>9863.4717999999993</c:v>
                </c:pt>
                <c:pt idx="684">
                  <c:v>4766.0219999999999</c:v>
                </c:pt>
                <c:pt idx="685">
                  <c:v>11244.376899999999</c:v>
                </c:pt>
                <c:pt idx="686">
                  <c:v>7729.6457499999997</c:v>
                </c:pt>
                <c:pt idx="687">
                  <c:v>5438.7491</c:v>
                </c:pt>
                <c:pt idx="688">
                  <c:v>26236.579969999999</c:v>
                </c:pt>
                <c:pt idx="689">
                  <c:v>34806.467700000001</c:v>
                </c:pt>
                <c:pt idx="690">
                  <c:v>2104.1134000000002</c:v>
                </c:pt>
                <c:pt idx="691">
                  <c:v>8068.1850000000004</c:v>
                </c:pt>
                <c:pt idx="692">
                  <c:v>2362.2290499999999</c:v>
                </c:pt>
                <c:pt idx="693">
                  <c:v>2352.9684499999998</c:v>
                </c:pt>
                <c:pt idx="694">
                  <c:v>3577.9989999999998</c:v>
                </c:pt>
                <c:pt idx="695">
                  <c:v>3201.2451500000002</c:v>
                </c:pt>
                <c:pt idx="696">
                  <c:v>29186.482360000002</c:v>
                </c:pt>
                <c:pt idx="697">
                  <c:v>40273.645499999999</c:v>
                </c:pt>
                <c:pt idx="698">
                  <c:v>10976.24575</c:v>
                </c:pt>
                <c:pt idx="699">
                  <c:v>3500.6122999999998</c:v>
                </c:pt>
                <c:pt idx="700">
                  <c:v>2020.5523000000001</c:v>
                </c:pt>
                <c:pt idx="701">
                  <c:v>9541.6955500000004</c:v>
                </c:pt>
                <c:pt idx="702">
                  <c:v>9504.3102999999992</c:v>
                </c:pt>
                <c:pt idx="703">
                  <c:v>5385.3379000000004</c:v>
                </c:pt>
                <c:pt idx="704">
                  <c:v>8930.9345499999999</c:v>
                </c:pt>
                <c:pt idx="705">
                  <c:v>5375.0379999999996</c:v>
                </c:pt>
                <c:pt idx="706">
                  <c:v>44400.4064</c:v>
                </c:pt>
                <c:pt idx="707">
                  <c:v>10264.4421</c:v>
                </c:pt>
                <c:pt idx="708">
                  <c:v>6113.2310500000003</c:v>
                </c:pt>
                <c:pt idx="709">
                  <c:v>5469.0065999999997</c:v>
                </c:pt>
                <c:pt idx="710">
                  <c:v>1727.54</c:v>
                </c:pt>
                <c:pt idx="711">
                  <c:v>10107.220600000001</c:v>
                </c:pt>
                <c:pt idx="712">
                  <c:v>8310.8391499999998</c:v>
                </c:pt>
                <c:pt idx="713">
                  <c:v>1984.4532999999999</c:v>
                </c:pt>
                <c:pt idx="714">
                  <c:v>2457.502</c:v>
                </c:pt>
                <c:pt idx="715">
                  <c:v>12146.971</c:v>
                </c:pt>
                <c:pt idx="716">
                  <c:v>9566.9909000000007</c:v>
                </c:pt>
                <c:pt idx="717">
                  <c:v>13112.604799999999</c:v>
                </c:pt>
                <c:pt idx="718">
                  <c:v>10848.1343</c:v>
                </c:pt>
                <c:pt idx="719">
                  <c:v>12231.613600000001</c:v>
                </c:pt>
                <c:pt idx="720">
                  <c:v>9875.6803999999993</c:v>
                </c:pt>
                <c:pt idx="721">
                  <c:v>11264.540999999999</c:v>
                </c:pt>
                <c:pt idx="722">
                  <c:v>12979.358</c:v>
                </c:pt>
                <c:pt idx="723">
                  <c:v>1263.249</c:v>
                </c:pt>
                <c:pt idx="724">
                  <c:v>10106.134249999999</c:v>
                </c:pt>
                <c:pt idx="725">
                  <c:v>40932.429499999998</c:v>
                </c:pt>
                <c:pt idx="726">
                  <c:v>6664.68595</c:v>
                </c:pt>
                <c:pt idx="727">
                  <c:v>16657.71745</c:v>
                </c:pt>
                <c:pt idx="728">
                  <c:v>2217.6012000000001</c:v>
                </c:pt>
                <c:pt idx="729">
                  <c:v>6781.3541999999998</c:v>
                </c:pt>
                <c:pt idx="730">
                  <c:v>19361.998800000001</c:v>
                </c:pt>
                <c:pt idx="731">
                  <c:v>10065.413</c:v>
                </c:pt>
                <c:pt idx="732">
                  <c:v>4234.9269999999997</c:v>
                </c:pt>
                <c:pt idx="733">
                  <c:v>9447.2503500000003</c:v>
                </c:pt>
                <c:pt idx="734">
                  <c:v>14007.222</c:v>
                </c:pt>
                <c:pt idx="735">
                  <c:v>9583.8932999999997</c:v>
                </c:pt>
                <c:pt idx="736">
                  <c:v>40419.019099999998</c:v>
                </c:pt>
                <c:pt idx="737">
                  <c:v>3484.3310000000001</c:v>
                </c:pt>
                <c:pt idx="738">
                  <c:v>36189.101699999999</c:v>
                </c:pt>
                <c:pt idx="739">
                  <c:v>44585.455869999998</c:v>
                </c:pt>
                <c:pt idx="740">
                  <c:v>8604.4836500000001</c:v>
                </c:pt>
                <c:pt idx="741">
                  <c:v>18246.495500000001</c:v>
                </c:pt>
                <c:pt idx="742">
                  <c:v>43254.417950000003</c:v>
                </c:pt>
                <c:pt idx="743">
                  <c:v>3757.8447999999999</c:v>
                </c:pt>
                <c:pt idx="744">
                  <c:v>8827.2098999999998</c:v>
                </c:pt>
                <c:pt idx="745">
                  <c:v>9910.3598500000007</c:v>
                </c:pt>
                <c:pt idx="746">
                  <c:v>11737.848840000001</c:v>
                </c:pt>
                <c:pt idx="747">
                  <c:v>1627.2824499999999</c:v>
                </c:pt>
                <c:pt idx="748">
                  <c:v>8556.9069999999992</c:v>
                </c:pt>
                <c:pt idx="749">
                  <c:v>3062.5082499999999</c:v>
                </c:pt>
                <c:pt idx="750">
                  <c:v>19539.242999999999</c:v>
                </c:pt>
                <c:pt idx="751">
                  <c:v>1906.35825</c:v>
                </c:pt>
                <c:pt idx="752">
                  <c:v>14210.53595</c:v>
                </c:pt>
                <c:pt idx="753">
                  <c:v>11833.782300000001</c:v>
                </c:pt>
                <c:pt idx="754">
                  <c:v>17128.426080000001</c:v>
                </c:pt>
                <c:pt idx="755">
                  <c:v>5031.26955</c:v>
                </c:pt>
                <c:pt idx="756">
                  <c:v>7985.8149999999996</c:v>
                </c:pt>
                <c:pt idx="757">
                  <c:v>23065.420699999999</c:v>
                </c:pt>
                <c:pt idx="758">
                  <c:v>5428.7277000000004</c:v>
                </c:pt>
                <c:pt idx="759">
                  <c:v>36307.798300000002</c:v>
                </c:pt>
                <c:pt idx="760">
                  <c:v>3925.7582000000002</c:v>
                </c:pt>
                <c:pt idx="761">
                  <c:v>2416.9549999999999</c:v>
                </c:pt>
                <c:pt idx="762">
                  <c:v>19040.876</c:v>
                </c:pt>
                <c:pt idx="763">
                  <c:v>3070.8087</c:v>
                </c:pt>
                <c:pt idx="764">
                  <c:v>9095.0682500000003</c:v>
                </c:pt>
                <c:pt idx="765">
                  <c:v>11842.623750000001</c:v>
                </c:pt>
                <c:pt idx="766">
                  <c:v>8062.7640000000001</c:v>
                </c:pt>
                <c:pt idx="767">
                  <c:v>7050.6419999999998</c:v>
                </c:pt>
                <c:pt idx="768">
                  <c:v>14319.031000000001</c:v>
                </c:pt>
                <c:pt idx="769">
                  <c:v>6933.2422500000002</c:v>
                </c:pt>
                <c:pt idx="770">
                  <c:v>27941.28758</c:v>
                </c:pt>
                <c:pt idx="771">
                  <c:v>11150.78</c:v>
                </c:pt>
                <c:pt idx="772">
                  <c:v>12797.20962</c:v>
                </c:pt>
                <c:pt idx="773">
                  <c:v>17748.5062</c:v>
                </c:pt>
                <c:pt idx="774">
                  <c:v>7261.741</c:v>
                </c:pt>
                <c:pt idx="775">
                  <c:v>10560.4917</c:v>
                </c:pt>
                <c:pt idx="776">
                  <c:v>6986.6970000000001</c:v>
                </c:pt>
                <c:pt idx="777">
                  <c:v>7448.4039499999999</c:v>
                </c:pt>
                <c:pt idx="778">
                  <c:v>5934.3797999999997</c:v>
                </c:pt>
                <c:pt idx="779">
                  <c:v>9869.8101999999999</c:v>
                </c:pt>
                <c:pt idx="780">
                  <c:v>18259.216</c:v>
                </c:pt>
                <c:pt idx="781">
                  <c:v>1146.7965999999999</c:v>
                </c:pt>
                <c:pt idx="782">
                  <c:v>9386.1612999999998</c:v>
                </c:pt>
                <c:pt idx="783">
                  <c:v>24520.263999999999</c:v>
                </c:pt>
                <c:pt idx="784">
                  <c:v>4350.5144</c:v>
                </c:pt>
                <c:pt idx="785">
                  <c:v>6414.1779999999999</c:v>
                </c:pt>
                <c:pt idx="786">
                  <c:v>12741.167450000001</c:v>
                </c:pt>
                <c:pt idx="787">
                  <c:v>1917.3184000000001</c:v>
                </c:pt>
                <c:pt idx="788">
                  <c:v>5209.5788499999999</c:v>
                </c:pt>
                <c:pt idx="789">
                  <c:v>13457.960800000001</c:v>
                </c:pt>
                <c:pt idx="790">
                  <c:v>5662.2250000000004</c:v>
                </c:pt>
                <c:pt idx="791">
                  <c:v>1252.4069999999999</c:v>
                </c:pt>
                <c:pt idx="792">
                  <c:v>2731.9122000000002</c:v>
                </c:pt>
                <c:pt idx="793">
                  <c:v>21195.817999999999</c:v>
                </c:pt>
                <c:pt idx="794">
                  <c:v>7209.4917999999998</c:v>
                </c:pt>
                <c:pt idx="795">
                  <c:v>18310.741999999998</c:v>
                </c:pt>
                <c:pt idx="796">
                  <c:v>4266.1657999999998</c:v>
                </c:pt>
                <c:pt idx="797">
                  <c:v>4719.52405</c:v>
                </c:pt>
                <c:pt idx="798">
                  <c:v>11848.141</c:v>
                </c:pt>
                <c:pt idx="799">
                  <c:v>17904.527050000001</c:v>
                </c:pt>
                <c:pt idx="800">
                  <c:v>7046.7222000000002</c:v>
                </c:pt>
                <c:pt idx="801">
                  <c:v>14313.846299999999</c:v>
                </c:pt>
                <c:pt idx="802">
                  <c:v>2103.08</c:v>
                </c:pt>
                <c:pt idx="803">
                  <c:v>38792.685599999997</c:v>
                </c:pt>
                <c:pt idx="804">
                  <c:v>1815.8759</c:v>
                </c:pt>
                <c:pt idx="805">
                  <c:v>7731.8578500000003</c:v>
                </c:pt>
                <c:pt idx="806">
                  <c:v>28476.734990000001</c:v>
                </c:pt>
                <c:pt idx="807">
                  <c:v>2136.8822500000001</c:v>
                </c:pt>
                <c:pt idx="808">
                  <c:v>1131.5065999999999</c:v>
                </c:pt>
                <c:pt idx="809">
                  <c:v>3309.7926000000002</c:v>
                </c:pt>
                <c:pt idx="810">
                  <c:v>9414.92</c:v>
                </c:pt>
                <c:pt idx="811">
                  <c:v>6360.9935999999998</c:v>
                </c:pt>
                <c:pt idx="812">
                  <c:v>11013.7119</c:v>
                </c:pt>
                <c:pt idx="813">
                  <c:v>4428.8878500000001</c:v>
                </c:pt>
                <c:pt idx="814">
                  <c:v>5584.3056999999999</c:v>
                </c:pt>
                <c:pt idx="815">
                  <c:v>1877.9294</c:v>
                </c:pt>
                <c:pt idx="816">
                  <c:v>2842.7607499999999</c:v>
                </c:pt>
                <c:pt idx="817">
                  <c:v>3597.596</c:v>
                </c:pt>
                <c:pt idx="818">
                  <c:v>23401.30575</c:v>
                </c:pt>
                <c:pt idx="819">
                  <c:v>55135.402090000003</c:v>
                </c:pt>
                <c:pt idx="820">
                  <c:v>7445.9179999999997</c:v>
                </c:pt>
                <c:pt idx="821">
                  <c:v>2680.9493000000002</c:v>
                </c:pt>
                <c:pt idx="822">
                  <c:v>1621.8827000000001</c:v>
                </c:pt>
                <c:pt idx="823">
                  <c:v>8219.2039000000004</c:v>
                </c:pt>
                <c:pt idx="824">
                  <c:v>12523.604799999999</c:v>
                </c:pt>
                <c:pt idx="825">
                  <c:v>16069.08475</c:v>
                </c:pt>
                <c:pt idx="826">
                  <c:v>43813.866099999999</c:v>
                </c:pt>
                <c:pt idx="827">
                  <c:v>20773.62775</c:v>
                </c:pt>
                <c:pt idx="828">
                  <c:v>39597.407200000001</c:v>
                </c:pt>
                <c:pt idx="829">
                  <c:v>6117.4944999999998</c:v>
                </c:pt>
                <c:pt idx="830">
                  <c:v>13393.755999999999</c:v>
                </c:pt>
                <c:pt idx="831">
                  <c:v>5266.3656000000001</c:v>
                </c:pt>
                <c:pt idx="832">
                  <c:v>4719.7365499999996</c:v>
                </c:pt>
                <c:pt idx="833">
                  <c:v>11743.9341</c:v>
                </c:pt>
                <c:pt idx="834">
                  <c:v>5377.4578000000001</c:v>
                </c:pt>
                <c:pt idx="835">
                  <c:v>7160.3302999999996</c:v>
                </c:pt>
                <c:pt idx="836">
                  <c:v>4402.2330000000002</c:v>
                </c:pt>
                <c:pt idx="837">
                  <c:v>11657.7189</c:v>
                </c:pt>
                <c:pt idx="838">
                  <c:v>6402.2913500000004</c:v>
                </c:pt>
                <c:pt idx="839">
                  <c:v>12622.1795</c:v>
                </c:pt>
                <c:pt idx="840">
                  <c:v>1526.3119999999999</c:v>
                </c:pt>
                <c:pt idx="841">
                  <c:v>12323.936</c:v>
                </c:pt>
                <c:pt idx="842">
                  <c:v>36021.011200000001</c:v>
                </c:pt>
                <c:pt idx="843">
                  <c:v>27533.912899999999</c:v>
                </c:pt>
                <c:pt idx="844">
                  <c:v>10072.055050000001</c:v>
                </c:pt>
                <c:pt idx="845">
                  <c:v>45008.955499999996</c:v>
                </c:pt>
                <c:pt idx="846">
                  <c:v>9872.7009999999991</c:v>
                </c:pt>
                <c:pt idx="847">
                  <c:v>2438.0551999999998</c:v>
                </c:pt>
                <c:pt idx="848">
                  <c:v>2974.1260000000002</c:v>
                </c:pt>
                <c:pt idx="849">
                  <c:v>10601.632250000001</c:v>
                </c:pt>
                <c:pt idx="850">
                  <c:v>37270.1512</c:v>
                </c:pt>
                <c:pt idx="851">
                  <c:v>14119.62</c:v>
                </c:pt>
                <c:pt idx="852">
                  <c:v>42111.664700000001</c:v>
                </c:pt>
                <c:pt idx="853">
                  <c:v>11729.6795</c:v>
                </c:pt>
                <c:pt idx="854">
                  <c:v>24106.912550000001</c:v>
                </c:pt>
                <c:pt idx="855">
                  <c:v>1875.3440000000001</c:v>
                </c:pt>
                <c:pt idx="856">
                  <c:v>40974.164900000003</c:v>
                </c:pt>
                <c:pt idx="857">
                  <c:v>15817.985699999999</c:v>
                </c:pt>
                <c:pt idx="858">
                  <c:v>18218.161390000001</c:v>
                </c:pt>
                <c:pt idx="859">
                  <c:v>10965.446</c:v>
                </c:pt>
                <c:pt idx="860">
                  <c:v>46113.510999999999</c:v>
                </c:pt>
                <c:pt idx="861">
                  <c:v>7151.0919999999996</c:v>
                </c:pt>
                <c:pt idx="862">
                  <c:v>12269.68865</c:v>
                </c:pt>
                <c:pt idx="863">
                  <c:v>5458.0464499999998</c:v>
                </c:pt>
                <c:pt idx="864">
                  <c:v>8782.4689999999991</c:v>
                </c:pt>
                <c:pt idx="865">
                  <c:v>6600.3609999999999</c:v>
                </c:pt>
                <c:pt idx="866">
                  <c:v>1141.4450999999999</c:v>
                </c:pt>
                <c:pt idx="867">
                  <c:v>11576.13</c:v>
                </c:pt>
                <c:pt idx="868">
                  <c:v>13129.603450000001</c:v>
                </c:pt>
                <c:pt idx="869">
                  <c:v>4391.652</c:v>
                </c:pt>
                <c:pt idx="870">
                  <c:v>8457.8179999999993</c:v>
                </c:pt>
                <c:pt idx="871">
                  <c:v>3392.3652000000002</c:v>
                </c:pt>
                <c:pt idx="872">
                  <c:v>5966.8873999999996</c:v>
                </c:pt>
                <c:pt idx="873">
                  <c:v>6849.0259999999998</c:v>
                </c:pt>
                <c:pt idx="874">
                  <c:v>8891.1394999999993</c:v>
                </c:pt>
                <c:pt idx="875">
                  <c:v>2690.1138000000001</c:v>
                </c:pt>
                <c:pt idx="876">
                  <c:v>26140.3603</c:v>
                </c:pt>
                <c:pt idx="877">
                  <c:v>6653.7885999999999</c:v>
                </c:pt>
                <c:pt idx="878">
                  <c:v>6282.2349999999997</c:v>
                </c:pt>
                <c:pt idx="879">
                  <c:v>6311.9520000000002</c:v>
                </c:pt>
                <c:pt idx="880">
                  <c:v>3443.0639999999999</c:v>
                </c:pt>
                <c:pt idx="881">
                  <c:v>2789.0574000000001</c:v>
                </c:pt>
                <c:pt idx="882">
                  <c:v>2585.8506499999999</c:v>
                </c:pt>
                <c:pt idx="883">
                  <c:v>46255.112500000003</c:v>
                </c:pt>
                <c:pt idx="884">
                  <c:v>4877.9810500000003</c:v>
                </c:pt>
                <c:pt idx="885">
                  <c:v>19719.6947</c:v>
                </c:pt>
                <c:pt idx="886">
                  <c:v>27218.437249999999</c:v>
                </c:pt>
                <c:pt idx="887">
                  <c:v>5272.1758</c:v>
                </c:pt>
                <c:pt idx="888">
                  <c:v>1682.597</c:v>
                </c:pt>
                <c:pt idx="889">
                  <c:v>11945.1327</c:v>
                </c:pt>
                <c:pt idx="890">
                  <c:v>29330.98315</c:v>
                </c:pt>
                <c:pt idx="891">
                  <c:v>7243.8136000000004</c:v>
                </c:pt>
                <c:pt idx="892">
                  <c:v>10422.916649999999</c:v>
                </c:pt>
                <c:pt idx="893">
                  <c:v>44202.653599999998</c:v>
                </c:pt>
                <c:pt idx="894">
                  <c:v>13555.0049</c:v>
                </c:pt>
                <c:pt idx="895">
                  <c:v>13063.883</c:v>
                </c:pt>
                <c:pt idx="896">
                  <c:v>19798.054550000001</c:v>
                </c:pt>
                <c:pt idx="897">
                  <c:v>2221.5644499999999</c:v>
                </c:pt>
                <c:pt idx="898">
                  <c:v>1634.5734</c:v>
                </c:pt>
                <c:pt idx="899">
                  <c:v>2117.3388500000001</c:v>
                </c:pt>
                <c:pt idx="900">
                  <c:v>8688.8588500000005</c:v>
                </c:pt>
                <c:pt idx="901">
                  <c:v>48673.558799999999</c:v>
                </c:pt>
                <c:pt idx="902">
                  <c:v>4661.2863500000003</c:v>
                </c:pt>
                <c:pt idx="903">
                  <c:v>8125.7844999999998</c:v>
                </c:pt>
                <c:pt idx="904">
                  <c:v>12644.589</c:v>
                </c:pt>
                <c:pt idx="905">
                  <c:v>4564.1914500000003</c:v>
                </c:pt>
                <c:pt idx="906">
                  <c:v>4846.9201499999999</c:v>
                </c:pt>
                <c:pt idx="907">
                  <c:v>7633.7205999999996</c:v>
                </c:pt>
                <c:pt idx="908">
                  <c:v>15170.069</c:v>
                </c:pt>
                <c:pt idx="909">
                  <c:v>17496.306</c:v>
                </c:pt>
                <c:pt idx="910">
                  <c:v>2639.0428999999999</c:v>
                </c:pt>
                <c:pt idx="911">
                  <c:v>33732.686699999998</c:v>
                </c:pt>
                <c:pt idx="912">
                  <c:v>14382.709049999999</c:v>
                </c:pt>
                <c:pt idx="913">
                  <c:v>7626.9930000000004</c:v>
                </c:pt>
                <c:pt idx="914">
                  <c:v>5257.5079500000002</c:v>
                </c:pt>
                <c:pt idx="915">
                  <c:v>2473.3341</c:v>
                </c:pt>
                <c:pt idx="916">
                  <c:v>21774.32215</c:v>
                </c:pt>
                <c:pt idx="917">
                  <c:v>35069.374519999998</c:v>
                </c:pt>
                <c:pt idx="918">
                  <c:v>13041.921</c:v>
                </c:pt>
                <c:pt idx="919">
                  <c:v>5245.2268999999997</c:v>
                </c:pt>
                <c:pt idx="920">
                  <c:v>13451.121999999999</c:v>
                </c:pt>
                <c:pt idx="921">
                  <c:v>13462.52</c:v>
                </c:pt>
                <c:pt idx="922">
                  <c:v>5488.2619999999997</c:v>
                </c:pt>
                <c:pt idx="923">
                  <c:v>4320.4108500000002</c:v>
                </c:pt>
                <c:pt idx="924">
                  <c:v>6250.4350000000004</c:v>
                </c:pt>
                <c:pt idx="925">
                  <c:v>25333.332839999999</c:v>
                </c:pt>
                <c:pt idx="926">
                  <c:v>2913.569</c:v>
                </c:pt>
                <c:pt idx="927">
                  <c:v>12032.325999999999</c:v>
                </c:pt>
                <c:pt idx="928">
                  <c:v>13470.804400000001</c:v>
                </c:pt>
                <c:pt idx="929">
                  <c:v>6289.7548999999999</c:v>
                </c:pt>
                <c:pt idx="930">
                  <c:v>2927.0646999999999</c:v>
                </c:pt>
                <c:pt idx="931">
                  <c:v>6238.2979999999998</c:v>
                </c:pt>
                <c:pt idx="932">
                  <c:v>10096.969999999999</c:v>
                </c:pt>
                <c:pt idx="933">
                  <c:v>7348.1419999999998</c:v>
                </c:pt>
                <c:pt idx="934">
                  <c:v>4673.3922000000002</c:v>
                </c:pt>
                <c:pt idx="935">
                  <c:v>12233.828</c:v>
                </c:pt>
                <c:pt idx="936">
                  <c:v>32108.662820000001</c:v>
                </c:pt>
                <c:pt idx="937">
                  <c:v>8965.7957499999993</c:v>
                </c:pt>
                <c:pt idx="938">
                  <c:v>2304.0021999999999</c:v>
                </c:pt>
                <c:pt idx="939">
                  <c:v>9487.6442000000006</c:v>
                </c:pt>
                <c:pt idx="940">
                  <c:v>1121.8739</c:v>
                </c:pt>
                <c:pt idx="941">
                  <c:v>9549.5650999999998</c:v>
                </c:pt>
                <c:pt idx="942">
                  <c:v>2217.4691499999999</c:v>
                </c:pt>
                <c:pt idx="943">
                  <c:v>1628.4709</c:v>
                </c:pt>
                <c:pt idx="944">
                  <c:v>12982.8747</c:v>
                </c:pt>
                <c:pt idx="945">
                  <c:v>11674.13</c:v>
                </c:pt>
                <c:pt idx="946">
                  <c:v>7160.0940000000001</c:v>
                </c:pt>
                <c:pt idx="947">
                  <c:v>39047.285000000003</c:v>
                </c:pt>
                <c:pt idx="948">
                  <c:v>6358.7764500000003</c:v>
                </c:pt>
                <c:pt idx="949">
                  <c:v>19933.457999999999</c:v>
                </c:pt>
                <c:pt idx="950">
                  <c:v>11534.872649999999</c:v>
                </c:pt>
                <c:pt idx="951">
                  <c:v>47462.894</c:v>
                </c:pt>
                <c:pt idx="952">
                  <c:v>4527.1829500000003</c:v>
                </c:pt>
                <c:pt idx="953">
                  <c:v>38998.546000000002</c:v>
                </c:pt>
                <c:pt idx="954">
                  <c:v>20009.63365</c:v>
                </c:pt>
                <c:pt idx="955">
                  <c:v>3875.7341000000001</c:v>
                </c:pt>
                <c:pt idx="956">
                  <c:v>41999.519999999997</c:v>
                </c:pt>
                <c:pt idx="957">
                  <c:v>12609.88702</c:v>
                </c:pt>
                <c:pt idx="958">
                  <c:v>41034.221400000002</c:v>
                </c:pt>
                <c:pt idx="959">
                  <c:v>28468.919010000001</c:v>
                </c:pt>
                <c:pt idx="960">
                  <c:v>2730.1078499999999</c:v>
                </c:pt>
                <c:pt idx="961">
                  <c:v>3353.2840000000001</c:v>
                </c:pt>
                <c:pt idx="962">
                  <c:v>14474.674999999999</c:v>
                </c:pt>
                <c:pt idx="963">
                  <c:v>9500.5730500000009</c:v>
                </c:pt>
                <c:pt idx="964">
                  <c:v>26467.09737</c:v>
                </c:pt>
                <c:pt idx="965">
                  <c:v>4746.3440000000001</c:v>
                </c:pt>
                <c:pt idx="966">
                  <c:v>23967.38305</c:v>
                </c:pt>
                <c:pt idx="967">
                  <c:v>7518.0253499999999</c:v>
                </c:pt>
                <c:pt idx="968">
                  <c:v>3279.8685500000001</c:v>
                </c:pt>
                <c:pt idx="969">
                  <c:v>8596.8277999999991</c:v>
                </c:pt>
                <c:pt idx="970">
                  <c:v>10702.642400000001</c:v>
                </c:pt>
                <c:pt idx="971">
                  <c:v>4992.3764000000001</c:v>
                </c:pt>
                <c:pt idx="972">
                  <c:v>2527.8186500000002</c:v>
                </c:pt>
                <c:pt idx="973">
                  <c:v>1759.338</c:v>
                </c:pt>
                <c:pt idx="974">
                  <c:v>2322.6217999999999</c:v>
                </c:pt>
                <c:pt idx="975">
                  <c:v>16138.762049999999</c:v>
                </c:pt>
                <c:pt idx="976">
                  <c:v>7804.1605</c:v>
                </c:pt>
                <c:pt idx="977">
                  <c:v>2902.9065000000001</c:v>
                </c:pt>
                <c:pt idx="978">
                  <c:v>9704.6680500000002</c:v>
                </c:pt>
                <c:pt idx="979">
                  <c:v>4889.0367999999999</c:v>
                </c:pt>
                <c:pt idx="980">
                  <c:v>25517.11363</c:v>
                </c:pt>
                <c:pt idx="981">
                  <c:v>4500.33925</c:v>
                </c:pt>
                <c:pt idx="982">
                  <c:v>19199.944</c:v>
                </c:pt>
                <c:pt idx="983">
                  <c:v>16796.411940000002</c:v>
                </c:pt>
                <c:pt idx="984">
                  <c:v>4915.0598499999996</c:v>
                </c:pt>
                <c:pt idx="985">
                  <c:v>7624.63</c:v>
                </c:pt>
                <c:pt idx="986">
                  <c:v>8410.0468500000006</c:v>
                </c:pt>
                <c:pt idx="987">
                  <c:v>28340.188849999999</c:v>
                </c:pt>
                <c:pt idx="988">
                  <c:v>4518.8262500000001</c:v>
                </c:pt>
                <c:pt idx="989">
                  <c:v>14571.890799999999</c:v>
                </c:pt>
                <c:pt idx="990">
                  <c:v>3378.91</c:v>
                </c:pt>
                <c:pt idx="991">
                  <c:v>7144.86265</c:v>
                </c:pt>
                <c:pt idx="992">
                  <c:v>10118.424000000001</c:v>
                </c:pt>
                <c:pt idx="993">
                  <c:v>5484.4673000000003</c:v>
                </c:pt>
                <c:pt idx="994">
                  <c:v>16420.494549999999</c:v>
                </c:pt>
                <c:pt idx="995">
                  <c:v>7986.4752500000004</c:v>
                </c:pt>
                <c:pt idx="996">
                  <c:v>7418.5219999999999</c:v>
                </c:pt>
                <c:pt idx="997">
                  <c:v>13887.968500000001</c:v>
                </c:pt>
                <c:pt idx="998">
                  <c:v>6551.7501000000002</c:v>
                </c:pt>
                <c:pt idx="999">
                  <c:v>5267.8181500000001</c:v>
                </c:pt>
                <c:pt idx="1000">
                  <c:v>17361.766100000001</c:v>
                </c:pt>
                <c:pt idx="1001">
                  <c:v>34472.841</c:v>
                </c:pt>
                <c:pt idx="1002">
                  <c:v>1972.95</c:v>
                </c:pt>
                <c:pt idx="1003">
                  <c:v>21232.182260000001</c:v>
                </c:pt>
                <c:pt idx="1004">
                  <c:v>8627.5411000000004</c:v>
                </c:pt>
                <c:pt idx="1005">
                  <c:v>4433.3877000000002</c:v>
                </c:pt>
                <c:pt idx="1006">
                  <c:v>4438.2633999999998</c:v>
                </c:pt>
                <c:pt idx="1007">
                  <c:v>24915.220850000002</c:v>
                </c:pt>
                <c:pt idx="1008">
                  <c:v>23241.47453</c:v>
                </c:pt>
                <c:pt idx="1009">
                  <c:v>9957.7216000000008</c:v>
                </c:pt>
                <c:pt idx="1010">
                  <c:v>8269.0439999999999</c:v>
                </c:pt>
                <c:pt idx="1011">
                  <c:v>18767.737700000001</c:v>
                </c:pt>
                <c:pt idx="1012">
                  <c:v>36580.282160000002</c:v>
                </c:pt>
                <c:pt idx="1013">
                  <c:v>8765.2489999999998</c:v>
                </c:pt>
                <c:pt idx="1014">
                  <c:v>5383.5360000000001</c:v>
                </c:pt>
                <c:pt idx="1015">
                  <c:v>12124.992399999999</c:v>
                </c:pt>
                <c:pt idx="1016">
                  <c:v>2709.24395</c:v>
                </c:pt>
                <c:pt idx="1017">
                  <c:v>3987.9259999999999</c:v>
                </c:pt>
                <c:pt idx="1018">
                  <c:v>12495.290849999999</c:v>
                </c:pt>
                <c:pt idx="1019">
                  <c:v>26018.950519999999</c:v>
                </c:pt>
                <c:pt idx="1020">
                  <c:v>8798.5930000000008</c:v>
                </c:pt>
                <c:pt idx="1021">
                  <c:v>35595.589800000002</c:v>
                </c:pt>
                <c:pt idx="1022">
                  <c:v>42211.138200000001</c:v>
                </c:pt>
                <c:pt idx="1023">
                  <c:v>1711.0268000000001</c:v>
                </c:pt>
                <c:pt idx="1024">
                  <c:v>8569.8618000000006</c:v>
                </c:pt>
                <c:pt idx="1025">
                  <c:v>2020.1769999999999</c:v>
                </c:pt>
                <c:pt idx="1026">
                  <c:v>16450.894700000001</c:v>
                </c:pt>
                <c:pt idx="1027">
                  <c:v>21595.382290000001</c:v>
                </c:pt>
                <c:pt idx="1028">
                  <c:v>9850.4320000000007</c:v>
                </c:pt>
                <c:pt idx="1029">
                  <c:v>6877.9800999999998</c:v>
                </c:pt>
                <c:pt idx="1030">
                  <c:v>21677.283449999999</c:v>
                </c:pt>
                <c:pt idx="1031">
                  <c:v>44423.803</c:v>
                </c:pt>
                <c:pt idx="1032">
                  <c:v>4137.5227000000004</c:v>
                </c:pt>
                <c:pt idx="1033">
                  <c:v>13747.87235</c:v>
                </c:pt>
                <c:pt idx="1034">
                  <c:v>12950.0712</c:v>
                </c:pt>
                <c:pt idx="1035">
                  <c:v>12094.477999999999</c:v>
                </c:pt>
                <c:pt idx="1036">
                  <c:v>37484.4493</c:v>
                </c:pt>
                <c:pt idx="1037">
                  <c:v>39725.518049999999</c:v>
                </c:pt>
                <c:pt idx="1038">
                  <c:v>2250.8352</c:v>
                </c:pt>
                <c:pt idx="1039">
                  <c:v>22493.659640000002</c:v>
                </c:pt>
                <c:pt idx="1040">
                  <c:v>20234.854749999999</c:v>
                </c:pt>
                <c:pt idx="1041">
                  <c:v>1704.7001499999999</c:v>
                </c:pt>
                <c:pt idx="1042">
                  <c:v>33475.817150000003</c:v>
                </c:pt>
                <c:pt idx="1043">
                  <c:v>3161.4540000000002</c:v>
                </c:pt>
                <c:pt idx="1044">
                  <c:v>11394.065549999999</c:v>
                </c:pt>
                <c:pt idx="1045">
                  <c:v>21880.82</c:v>
                </c:pt>
                <c:pt idx="1046">
                  <c:v>7325.0482000000002</c:v>
                </c:pt>
                <c:pt idx="1047">
                  <c:v>44501.398200000003</c:v>
                </c:pt>
                <c:pt idx="1048">
                  <c:v>3594.17085</c:v>
                </c:pt>
                <c:pt idx="1049">
                  <c:v>39727.614000000001</c:v>
                </c:pt>
                <c:pt idx="1050">
                  <c:v>8023.1354499999998</c:v>
                </c:pt>
                <c:pt idx="1051">
                  <c:v>14394.5579</c:v>
                </c:pt>
                <c:pt idx="1052">
                  <c:v>9288.0267000000003</c:v>
                </c:pt>
                <c:pt idx="1053">
                  <c:v>25309.489000000001</c:v>
                </c:pt>
                <c:pt idx="1054">
                  <c:v>3353.4703</c:v>
                </c:pt>
                <c:pt idx="1055">
                  <c:v>10594.501550000001</c:v>
                </c:pt>
                <c:pt idx="1056">
                  <c:v>8277.5229999999992</c:v>
                </c:pt>
                <c:pt idx="1057">
                  <c:v>17929.303370000001</c:v>
                </c:pt>
                <c:pt idx="1058">
                  <c:v>2480.9791</c:v>
                </c:pt>
                <c:pt idx="1059">
                  <c:v>4462.7218000000003</c:v>
                </c:pt>
                <c:pt idx="1060">
                  <c:v>1981.5818999999999</c:v>
                </c:pt>
                <c:pt idx="1061">
                  <c:v>11554.223599999999</c:v>
                </c:pt>
                <c:pt idx="1062">
                  <c:v>48970.247600000002</c:v>
                </c:pt>
                <c:pt idx="1063">
                  <c:v>6548.1950500000003</c:v>
                </c:pt>
                <c:pt idx="1064">
                  <c:v>5708.8670000000002</c:v>
                </c:pt>
                <c:pt idx="1065">
                  <c:v>7045.4989999999998</c:v>
                </c:pt>
                <c:pt idx="1066">
                  <c:v>8978.1851000000006</c:v>
                </c:pt>
                <c:pt idx="1067">
                  <c:v>5757.41345</c:v>
                </c:pt>
                <c:pt idx="1068">
                  <c:v>14349.8544</c:v>
                </c:pt>
                <c:pt idx="1069">
                  <c:v>10928.849</c:v>
                </c:pt>
                <c:pt idx="1070">
                  <c:v>39871.704299999998</c:v>
                </c:pt>
                <c:pt idx="1071">
                  <c:v>13974.455550000001</c:v>
                </c:pt>
                <c:pt idx="1072">
                  <c:v>1909.52745</c:v>
                </c:pt>
                <c:pt idx="1073">
                  <c:v>12096.6512</c:v>
                </c:pt>
                <c:pt idx="1074">
                  <c:v>13204.28565</c:v>
                </c:pt>
                <c:pt idx="1075">
                  <c:v>4562.8420999999998</c:v>
                </c:pt>
                <c:pt idx="1076">
                  <c:v>8551.3469999999998</c:v>
                </c:pt>
                <c:pt idx="1077">
                  <c:v>2102.2647000000002</c:v>
                </c:pt>
                <c:pt idx="1078">
                  <c:v>34672.147199999999</c:v>
                </c:pt>
                <c:pt idx="1079">
                  <c:v>15161.5344</c:v>
                </c:pt>
                <c:pt idx="1080">
                  <c:v>11884.048580000001</c:v>
                </c:pt>
                <c:pt idx="1081">
                  <c:v>4454.40265</c:v>
                </c:pt>
                <c:pt idx="1082">
                  <c:v>5855.9025000000001</c:v>
                </c:pt>
                <c:pt idx="1083">
                  <c:v>4076.4969999999998</c:v>
                </c:pt>
                <c:pt idx="1084">
                  <c:v>15019.760050000001</c:v>
                </c:pt>
                <c:pt idx="1085">
                  <c:v>19023.259999999998</c:v>
                </c:pt>
                <c:pt idx="1086">
                  <c:v>10796.35025</c:v>
                </c:pt>
                <c:pt idx="1087">
                  <c:v>11353.2276</c:v>
                </c:pt>
                <c:pt idx="1088">
                  <c:v>9748.9105999999992</c:v>
                </c:pt>
                <c:pt idx="1089">
                  <c:v>10577.087</c:v>
                </c:pt>
                <c:pt idx="1090">
                  <c:v>41676.081100000003</c:v>
                </c:pt>
                <c:pt idx="1091">
                  <c:v>11286.538699999999</c:v>
                </c:pt>
                <c:pt idx="1092">
                  <c:v>3591.48</c:v>
                </c:pt>
                <c:pt idx="1093">
                  <c:v>33907.548000000003</c:v>
                </c:pt>
                <c:pt idx="1094">
                  <c:v>11299.343000000001</c:v>
                </c:pt>
                <c:pt idx="1095">
                  <c:v>4561.1885000000002</c:v>
                </c:pt>
                <c:pt idx="1096">
                  <c:v>44641.197399999997</c:v>
                </c:pt>
                <c:pt idx="1097">
                  <c:v>1674.6323</c:v>
                </c:pt>
                <c:pt idx="1098">
                  <c:v>23045.566159999998</c:v>
                </c:pt>
                <c:pt idx="1099">
                  <c:v>3227.1210999999998</c:v>
                </c:pt>
                <c:pt idx="1100">
                  <c:v>16776.304049999999</c:v>
                </c:pt>
                <c:pt idx="1101">
                  <c:v>11253.421</c:v>
                </c:pt>
                <c:pt idx="1102">
                  <c:v>3471.4096</c:v>
                </c:pt>
                <c:pt idx="1103">
                  <c:v>11363.2832</c:v>
                </c:pt>
                <c:pt idx="1104">
                  <c:v>20420.604650000001</c:v>
                </c:pt>
                <c:pt idx="1105">
                  <c:v>10338.9316</c:v>
                </c:pt>
                <c:pt idx="1106">
                  <c:v>8988.1587500000005</c:v>
                </c:pt>
                <c:pt idx="1107">
                  <c:v>10493.9458</c:v>
                </c:pt>
                <c:pt idx="1108">
                  <c:v>2904.0880000000002</c:v>
                </c:pt>
                <c:pt idx="1109">
                  <c:v>8605.3615000000009</c:v>
                </c:pt>
                <c:pt idx="1110">
                  <c:v>11512.405000000001</c:v>
                </c:pt>
                <c:pt idx="1111">
                  <c:v>41949.244100000004</c:v>
                </c:pt>
                <c:pt idx="1112">
                  <c:v>24180.933499999999</c:v>
                </c:pt>
                <c:pt idx="1113">
                  <c:v>5312.1698500000002</c:v>
                </c:pt>
                <c:pt idx="1114">
                  <c:v>2396.0958999999998</c:v>
                </c:pt>
                <c:pt idx="1115">
                  <c:v>10807.4863</c:v>
                </c:pt>
                <c:pt idx="1116">
                  <c:v>9222.4025999999994</c:v>
                </c:pt>
                <c:pt idx="1117">
                  <c:v>36124.573700000001</c:v>
                </c:pt>
                <c:pt idx="1118">
                  <c:v>38282.749499999998</c:v>
                </c:pt>
                <c:pt idx="1119">
                  <c:v>5693.4305000000004</c:v>
                </c:pt>
                <c:pt idx="1120">
                  <c:v>34166.273000000001</c:v>
                </c:pt>
                <c:pt idx="1121">
                  <c:v>8347.1643000000004</c:v>
                </c:pt>
                <c:pt idx="1122">
                  <c:v>46661.4424</c:v>
                </c:pt>
                <c:pt idx="1123">
                  <c:v>18903.491409999999</c:v>
                </c:pt>
                <c:pt idx="1124">
                  <c:v>40904.199500000002</c:v>
                </c:pt>
                <c:pt idx="1125">
                  <c:v>14254.608200000001</c:v>
                </c:pt>
                <c:pt idx="1126">
                  <c:v>10214.636</c:v>
                </c:pt>
                <c:pt idx="1127">
                  <c:v>5836.5204000000003</c:v>
                </c:pt>
                <c:pt idx="1128">
                  <c:v>14358.364369999999</c:v>
                </c:pt>
                <c:pt idx="1129">
                  <c:v>1728.8969999999999</c:v>
                </c:pt>
                <c:pt idx="1130">
                  <c:v>8582.3022999999994</c:v>
                </c:pt>
                <c:pt idx="1131">
                  <c:v>3693.4279999999999</c:v>
                </c:pt>
                <c:pt idx="1132">
                  <c:v>20709.020339999999</c:v>
                </c:pt>
                <c:pt idx="1133">
                  <c:v>9991.0376500000002</c:v>
                </c:pt>
                <c:pt idx="1134">
                  <c:v>19673.335729999999</c:v>
                </c:pt>
                <c:pt idx="1135">
                  <c:v>11085.586799999999</c:v>
                </c:pt>
                <c:pt idx="1136">
                  <c:v>7623.518</c:v>
                </c:pt>
                <c:pt idx="1137">
                  <c:v>3176.2876999999999</c:v>
                </c:pt>
                <c:pt idx="1138">
                  <c:v>3704.3544999999999</c:v>
                </c:pt>
                <c:pt idx="1139">
                  <c:v>36898.733079999998</c:v>
                </c:pt>
                <c:pt idx="1140">
                  <c:v>9048.0272999999997</c:v>
                </c:pt>
                <c:pt idx="1141">
                  <c:v>7954.5169999999998</c:v>
                </c:pt>
                <c:pt idx="1142">
                  <c:v>27117.993780000001</c:v>
                </c:pt>
                <c:pt idx="1143">
                  <c:v>6338.0756000000001</c:v>
                </c:pt>
                <c:pt idx="1144">
                  <c:v>9630.3970000000008</c:v>
                </c:pt>
                <c:pt idx="1145">
                  <c:v>11289.10925</c:v>
                </c:pt>
                <c:pt idx="1146">
                  <c:v>52590.829389999999</c:v>
                </c:pt>
                <c:pt idx="1147">
                  <c:v>2261.5688</c:v>
                </c:pt>
                <c:pt idx="1148">
                  <c:v>10791.96</c:v>
                </c:pt>
                <c:pt idx="1149">
                  <c:v>5979.7309999999998</c:v>
                </c:pt>
                <c:pt idx="1150">
                  <c:v>2203.7359499999998</c:v>
                </c:pt>
                <c:pt idx="1151">
                  <c:v>12235.8392</c:v>
                </c:pt>
                <c:pt idx="1152">
                  <c:v>40941.285400000001</c:v>
                </c:pt>
                <c:pt idx="1153">
                  <c:v>5630.4578499999998</c:v>
                </c:pt>
                <c:pt idx="1154">
                  <c:v>11015.1747</c:v>
                </c:pt>
                <c:pt idx="1155">
                  <c:v>7228.2156500000001</c:v>
                </c:pt>
                <c:pt idx="1156">
                  <c:v>39722.746200000001</c:v>
                </c:pt>
                <c:pt idx="1157">
                  <c:v>14426.073850000001</c:v>
                </c:pt>
                <c:pt idx="1158">
                  <c:v>2459.7201</c:v>
                </c:pt>
                <c:pt idx="1159">
                  <c:v>3989.8409999999999</c:v>
                </c:pt>
                <c:pt idx="1160">
                  <c:v>7727.2532000000001</c:v>
                </c:pt>
                <c:pt idx="1161">
                  <c:v>5124.1886999999997</c:v>
                </c:pt>
                <c:pt idx="1162">
                  <c:v>18963.171920000001</c:v>
                </c:pt>
                <c:pt idx="1163">
                  <c:v>2200.8308499999998</c:v>
                </c:pt>
                <c:pt idx="1164">
                  <c:v>7153.5538999999999</c:v>
                </c:pt>
                <c:pt idx="1165">
                  <c:v>5227.9887500000004</c:v>
                </c:pt>
                <c:pt idx="1166">
                  <c:v>10982.5013</c:v>
                </c:pt>
                <c:pt idx="1167">
                  <c:v>4529.4769999999999</c:v>
                </c:pt>
                <c:pt idx="1168">
                  <c:v>4670.6400000000003</c:v>
                </c:pt>
                <c:pt idx="1169">
                  <c:v>6112.3529500000004</c:v>
                </c:pt>
                <c:pt idx="1170">
                  <c:v>17178.682400000002</c:v>
                </c:pt>
                <c:pt idx="1171">
                  <c:v>22478.6</c:v>
                </c:pt>
                <c:pt idx="1172">
                  <c:v>11093.6229</c:v>
                </c:pt>
                <c:pt idx="1173">
                  <c:v>6457.8433999999997</c:v>
                </c:pt>
                <c:pt idx="1174">
                  <c:v>4433.9159</c:v>
                </c:pt>
                <c:pt idx="1175">
                  <c:v>2154.3609999999999</c:v>
                </c:pt>
                <c:pt idx="1176">
                  <c:v>23887.662700000001</c:v>
                </c:pt>
                <c:pt idx="1177">
                  <c:v>6496.8860000000004</c:v>
                </c:pt>
                <c:pt idx="1178">
                  <c:v>2899.4893499999998</c:v>
                </c:pt>
                <c:pt idx="1179">
                  <c:v>19350.368900000001</c:v>
                </c:pt>
                <c:pt idx="1180">
                  <c:v>7650.7737500000003</c:v>
                </c:pt>
                <c:pt idx="1181">
                  <c:v>2850.6837500000001</c:v>
                </c:pt>
                <c:pt idx="1182">
                  <c:v>2632.9920000000002</c:v>
                </c:pt>
                <c:pt idx="1183">
                  <c:v>9447.3824000000004</c:v>
                </c:pt>
                <c:pt idx="1184">
                  <c:v>18328.238099999999</c:v>
                </c:pt>
                <c:pt idx="1185">
                  <c:v>8603.8233999999993</c:v>
                </c:pt>
                <c:pt idx="1186">
                  <c:v>37465.34375</c:v>
                </c:pt>
                <c:pt idx="1187">
                  <c:v>13844.797200000001</c:v>
                </c:pt>
                <c:pt idx="1188">
                  <c:v>21771.3423</c:v>
                </c:pt>
                <c:pt idx="1189">
                  <c:v>13126.677449999999</c:v>
                </c:pt>
                <c:pt idx="1190">
                  <c:v>5327.4002499999997</c:v>
                </c:pt>
                <c:pt idx="1191">
                  <c:v>13725.47184</c:v>
                </c:pt>
                <c:pt idx="1192">
                  <c:v>13019.161050000001</c:v>
                </c:pt>
                <c:pt idx="1193">
                  <c:v>8671.1912499999999</c:v>
                </c:pt>
                <c:pt idx="1194">
                  <c:v>4134.0824499999999</c:v>
                </c:pt>
                <c:pt idx="1195">
                  <c:v>18838.703659999999</c:v>
                </c:pt>
                <c:pt idx="1196">
                  <c:v>33307.550799999997</c:v>
                </c:pt>
                <c:pt idx="1197">
                  <c:v>5699.8374999999996</c:v>
                </c:pt>
                <c:pt idx="1198">
                  <c:v>6393.6034499999996</c:v>
                </c:pt>
                <c:pt idx="1199">
                  <c:v>4934.7049999999999</c:v>
                </c:pt>
                <c:pt idx="1200">
                  <c:v>6198.7518</c:v>
                </c:pt>
                <c:pt idx="1201">
                  <c:v>8733.2292500000003</c:v>
                </c:pt>
                <c:pt idx="1202">
                  <c:v>2055.3249000000001</c:v>
                </c:pt>
                <c:pt idx="1203">
                  <c:v>9964.06</c:v>
                </c:pt>
                <c:pt idx="1204">
                  <c:v>18223.4512</c:v>
                </c:pt>
                <c:pt idx="1205">
                  <c:v>5116.5003999999999</c:v>
                </c:pt>
                <c:pt idx="1206">
                  <c:v>36910.608030000003</c:v>
                </c:pt>
                <c:pt idx="1207">
                  <c:v>38415.474000000002</c:v>
                </c:pt>
                <c:pt idx="1208">
                  <c:v>20296.863450000001</c:v>
                </c:pt>
                <c:pt idx="1209">
                  <c:v>12347.172</c:v>
                </c:pt>
                <c:pt idx="1210">
                  <c:v>5373.3642499999996</c:v>
                </c:pt>
                <c:pt idx="1211">
                  <c:v>23563.016179999999</c:v>
                </c:pt>
                <c:pt idx="1212">
                  <c:v>1702.4553000000001</c:v>
                </c:pt>
                <c:pt idx="1213">
                  <c:v>10806.839</c:v>
                </c:pt>
                <c:pt idx="1214">
                  <c:v>3956.0714499999999</c:v>
                </c:pt>
                <c:pt idx="1215">
                  <c:v>12890.057650000001</c:v>
                </c:pt>
                <c:pt idx="1216">
                  <c:v>5415.6611999999996</c:v>
                </c:pt>
                <c:pt idx="1217">
                  <c:v>4058.1161000000002</c:v>
                </c:pt>
                <c:pt idx="1218">
                  <c:v>41661.601999999999</c:v>
                </c:pt>
                <c:pt idx="1219">
                  <c:v>7537.1638999999996</c:v>
                </c:pt>
                <c:pt idx="1220">
                  <c:v>4718.2035500000002</c:v>
                </c:pt>
                <c:pt idx="1221">
                  <c:v>6593.5083000000004</c:v>
                </c:pt>
                <c:pt idx="1222">
                  <c:v>8442.6669999999995</c:v>
                </c:pt>
                <c:pt idx="1223">
                  <c:v>26125.674770000001</c:v>
                </c:pt>
                <c:pt idx="1224">
                  <c:v>6858.4795999999997</c:v>
                </c:pt>
                <c:pt idx="1225">
                  <c:v>4795.6567999999997</c:v>
                </c:pt>
                <c:pt idx="1226">
                  <c:v>6640.5448500000002</c:v>
                </c:pt>
                <c:pt idx="1227">
                  <c:v>7162.0122000000001</c:v>
                </c:pt>
                <c:pt idx="1228">
                  <c:v>10594.225700000001</c:v>
                </c:pt>
                <c:pt idx="1229">
                  <c:v>11938.255950000001</c:v>
                </c:pt>
                <c:pt idx="1230">
                  <c:v>60021.398970000002</c:v>
                </c:pt>
                <c:pt idx="1231">
                  <c:v>20167.336029999999</c:v>
                </c:pt>
                <c:pt idx="1232">
                  <c:v>12479.70895</c:v>
                </c:pt>
                <c:pt idx="1233">
                  <c:v>11345.519</c:v>
                </c:pt>
                <c:pt idx="1234">
                  <c:v>8515.7587000000003</c:v>
                </c:pt>
                <c:pt idx="1235">
                  <c:v>2699.56835</c:v>
                </c:pt>
                <c:pt idx="1236">
                  <c:v>14449.8544</c:v>
                </c:pt>
                <c:pt idx="1237">
                  <c:v>12224.350850000001</c:v>
                </c:pt>
                <c:pt idx="1238">
                  <c:v>6985.50695</c:v>
                </c:pt>
                <c:pt idx="1239">
                  <c:v>3238.4357</c:v>
                </c:pt>
                <c:pt idx="1240">
                  <c:v>47269.853999999999</c:v>
                </c:pt>
                <c:pt idx="1241">
                  <c:v>49577.662400000001</c:v>
                </c:pt>
                <c:pt idx="1242">
                  <c:v>4296.2712000000001</c:v>
                </c:pt>
                <c:pt idx="1243">
                  <c:v>3171.6149</c:v>
                </c:pt>
                <c:pt idx="1244">
                  <c:v>1135.9407000000001</c:v>
                </c:pt>
                <c:pt idx="1245">
                  <c:v>5615.3689999999997</c:v>
                </c:pt>
                <c:pt idx="1246">
                  <c:v>9101.7980000000007</c:v>
                </c:pt>
                <c:pt idx="1247">
                  <c:v>6059.1729999999998</c:v>
                </c:pt>
                <c:pt idx="1248">
                  <c:v>1633.9618</c:v>
                </c:pt>
                <c:pt idx="1249">
                  <c:v>37607.527699999999</c:v>
                </c:pt>
                <c:pt idx="1250">
                  <c:v>18648.421699999999</c:v>
                </c:pt>
                <c:pt idx="1251">
                  <c:v>1241.5650000000001</c:v>
                </c:pt>
                <c:pt idx="1252">
                  <c:v>16232.847</c:v>
                </c:pt>
                <c:pt idx="1253">
                  <c:v>15828.82173</c:v>
                </c:pt>
                <c:pt idx="1254">
                  <c:v>4415.1588000000002</c:v>
                </c:pt>
                <c:pt idx="1255">
                  <c:v>6474.0129999999999</c:v>
                </c:pt>
                <c:pt idx="1256">
                  <c:v>11436.738149999999</c:v>
                </c:pt>
                <c:pt idx="1257">
                  <c:v>11305.93455</c:v>
                </c:pt>
                <c:pt idx="1258">
                  <c:v>30063.580549999999</c:v>
                </c:pt>
                <c:pt idx="1259">
                  <c:v>10197.772199999999</c:v>
                </c:pt>
                <c:pt idx="1260">
                  <c:v>4544.2348000000002</c:v>
                </c:pt>
                <c:pt idx="1261">
                  <c:v>3277.1610000000001</c:v>
                </c:pt>
                <c:pt idx="1262">
                  <c:v>6770.1925000000001</c:v>
                </c:pt>
                <c:pt idx="1263">
                  <c:v>7337.7479999999996</c:v>
                </c:pt>
                <c:pt idx="1264">
                  <c:v>10370.912549999999</c:v>
                </c:pt>
                <c:pt idx="1265">
                  <c:v>26926.5144</c:v>
                </c:pt>
                <c:pt idx="1266">
                  <c:v>10704.47</c:v>
                </c:pt>
                <c:pt idx="1267">
                  <c:v>34254.053350000002</c:v>
                </c:pt>
                <c:pt idx="1268">
                  <c:v>1880.4870000000001</c:v>
                </c:pt>
                <c:pt idx="1269">
                  <c:v>8615.2999999999993</c:v>
                </c:pt>
                <c:pt idx="1270">
                  <c:v>3292.5298499999999</c:v>
                </c:pt>
                <c:pt idx="1271">
                  <c:v>3021.80915</c:v>
                </c:pt>
                <c:pt idx="1272">
                  <c:v>14478.33015</c:v>
                </c:pt>
                <c:pt idx="1273">
                  <c:v>4747.0528999999997</c:v>
                </c:pt>
                <c:pt idx="1274">
                  <c:v>17043.341400000001</c:v>
                </c:pt>
                <c:pt idx="1275">
                  <c:v>10959.33</c:v>
                </c:pt>
                <c:pt idx="1276">
                  <c:v>2741.9479999999999</c:v>
                </c:pt>
                <c:pt idx="1277">
                  <c:v>4357.0436499999996</c:v>
                </c:pt>
                <c:pt idx="1278">
                  <c:v>22462.043750000001</c:v>
                </c:pt>
                <c:pt idx="1279">
                  <c:v>4189.1130999999996</c:v>
                </c:pt>
                <c:pt idx="1280">
                  <c:v>8283.6807000000008</c:v>
                </c:pt>
                <c:pt idx="1281">
                  <c:v>24535.698550000001</c:v>
                </c:pt>
                <c:pt idx="1282">
                  <c:v>14283.4594</c:v>
                </c:pt>
                <c:pt idx="1283">
                  <c:v>1720.3536999999999</c:v>
                </c:pt>
                <c:pt idx="1284">
                  <c:v>47403.88</c:v>
                </c:pt>
                <c:pt idx="1285">
                  <c:v>8534.6718000000001</c:v>
                </c:pt>
                <c:pt idx="1286">
                  <c:v>3732.6251000000002</c:v>
                </c:pt>
                <c:pt idx="1287">
                  <c:v>5472.4489999999996</c:v>
                </c:pt>
                <c:pt idx="1288">
                  <c:v>38344.565999999999</c:v>
                </c:pt>
                <c:pt idx="1289">
                  <c:v>7147.4727999999996</c:v>
                </c:pt>
                <c:pt idx="1290">
                  <c:v>7133.9025000000001</c:v>
                </c:pt>
                <c:pt idx="1291">
                  <c:v>34828.654000000002</c:v>
                </c:pt>
                <c:pt idx="1292">
                  <c:v>1515.3449000000001</c:v>
                </c:pt>
                <c:pt idx="1293">
                  <c:v>9301.8935500000007</c:v>
                </c:pt>
                <c:pt idx="1294">
                  <c:v>11931.125249999999</c:v>
                </c:pt>
                <c:pt idx="1295">
                  <c:v>1964.78</c:v>
                </c:pt>
                <c:pt idx="1296">
                  <c:v>1708.9257500000001</c:v>
                </c:pt>
                <c:pt idx="1297">
                  <c:v>4340.4408999999996</c:v>
                </c:pt>
                <c:pt idx="1298">
                  <c:v>5261.4694499999996</c:v>
                </c:pt>
                <c:pt idx="1299">
                  <c:v>2710.8285500000002</c:v>
                </c:pt>
                <c:pt idx="1300">
                  <c:v>62592.873090000001</c:v>
                </c:pt>
                <c:pt idx="1301">
                  <c:v>46718.163249999998</c:v>
                </c:pt>
                <c:pt idx="1302">
                  <c:v>3208.7869999999998</c:v>
                </c:pt>
                <c:pt idx="1303">
                  <c:v>37829.724199999997</c:v>
                </c:pt>
                <c:pt idx="1304">
                  <c:v>21259.377949999998</c:v>
                </c:pt>
                <c:pt idx="1305">
                  <c:v>2464.6188000000002</c:v>
                </c:pt>
                <c:pt idx="1306">
                  <c:v>16115.3045</c:v>
                </c:pt>
                <c:pt idx="1307">
                  <c:v>21472.478800000001</c:v>
                </c:pt>
                <c:pt idx="1308">
                  <c:v>33900.652999999998</c:v>
                </c:pt>
                <c:pt idx="1309">
                  <c:v>6875.9610000000002</c:v>
                </c:pt>
                <c:pt idx="1310">
                  <c:v>6940.90985</c:v>
                </c:pt>
                <c:pt idx="1311">
                  <c:v>4571.4130500000001</c:v>
                </c:pt>
                <c:pt idx="1312">
                  <c:v>4536.259</c:v>
                </c:pt>
                <c:pt idx="1313">
                  <c:v>36397.576000000001</c:v>
                </c:pt>
                <c:pt idx="1314">
                  <c:v>18765.87545</c:v>
                </c:pt>
                <c:pt idx="1315">
                  <c:v>11272.331389999999</c:v>
                </c:pt>
                <c:pt idx="1316">
                  <c:v>1731.6769999999999</c:v>
                </c:pt>
                <c:pt idx="1317">
                  <c:v>1163.4627</c:v>
                </c:pt>
                <c:pt idx="1318">
                  <c:v>19496.71917</c:v>
                </c:pt>
                <c:pt idx="1319">
                  <c:v>7201.7008500000002</c:v>
                </c:pt>
                <c:pt idx="1320">
                  <c:v>5425.0233500000004</c:v>
                </c:pt>
                <c:pt idx="1321">
                  <c:v>28101.333050000001</c:v>
                </c:pt>
                <c:pt idx="1322">
                  <c:v>12981.3457</c:v>
                </c:pt>
                <c:pt idx="1323">
                  <c:v>43896.376300000004</c:v>
                </c:pt>
                <c:pt idx="1324">
                  <c:v>4239.8926499999998</c:v>
                </c:pt>
                <c:pt idx="1325">
                  <c:v>13143.336649999999</c:v>
                </c:pt>
                <c:pt idx="1326">
                  <c:v>7050.0213000000003</c:v>
                </c:pt>
                <c:pt idx="1327">
                  <c:v>9377.9046999999991</c:v>
                </c:pt>
                <c:pt idx="1328">
                  <c:v>22395.74424</c:v>
                </c:pt>
                <c:pt idx="1329">
                  <c:v>10325.206</c:v>
                </c:pt>
                <c:pt idx="1330">
                  <c:v>12629.1656</c:v>
                </c:pt>
                <c:pt idx="1331">
                  <c:v>10795.937330000001</c:v>
                </c:pt>
                <c:pt idx="1332">
                  <c:v>11411.684999999999</c:v>
                </c:pt>
                <c:pt idx="1333">
                  <c:v>10600.5483</c:v>
                </c:pt>
                <c:pt idx="1334">
                  <c:v>2205.9807999999998</c:v>
                </c:pt>
                <c:pt idx="1335">
                  <c:v>1629.8335</c:v>
                </c:pt>
                <c:pt idx="1336">
                  <c:v>2007.9449999999999</c:v>
                </c:pt>
                <c:pt idx="1337">
                  <c:v>29141.3603</c:v>
                </c:pt>
              </c:numCache>
            </c:numRef>
          </c:yVal>
          <c:smooth val="0"/>
          <c:extLst>
            <c:ext xmlns:c16="http://schemas.microsoft.com/office/drawing/2014/chart" uri="{C3380CC4-5D6E-409C-BE32-E72D297353CC}">
              <c16:uniqueId val="{00000000-742C-45AD-B8FB-FE2597D4B4D1}"/>
            </c:ext>
          </c:extLst>
        </c:ser>
        <c:dLbls>
          <c:showLegendKey val="0"/>
          <c:showVal val="0"/>
          <c:showCatName val="0"/>
          <c:showSerName val="0"/>
          <c:showPercent val="0"/>
          <c:showBubbleSize val="0"/>
        </c:dLbls>
        <c:axId val="1537827552"/>
        <c:axId val="1537827072"/>
      </c:scatterChart>
      <c:valAx>
        <c:axId val="153782755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37827072"/>
        <c:crosses val="autoZero"/>
        <c:crossBetween val="midCat"/>
      </c:valAx>
      <c:valAx>
        <c:axId val="153782707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37827552"/>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 Id="rId9" Type="http://schemas.openxmlformats.org/officeDocument/2006/relationships/chart" Target="../charts/chart1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350520</xdr:colOff>
      <xdr:row>3</xdr:row>
      <xdr:rowOff>118110</xdr:rowOff>
    </xdr:from>
    <xdr:to>
      <xdr:col>11</xdr:col>
      <xdr:colOff>45720</xdr:colOff>
      <xdr:row>18</xdr:row>
      <xdr:rowOff>118110</xdr:rowOff>
    </xdr:to>
    <xdr:graphicFrame macro="">
      <xdr:nvGraphicFramePr>
        <xdr:cNvPr id="2" name="Chart 1">
          <a:extLst>
            <a:ext uri="{FF2B5EF4-FFF2-40B4-BE49-F238E27FC236}">
              <a16:creationId xmlns:a16="http://schemas.microsoft.com/office/drawing/2014/main" id="{2C382816-1A67-974E-D06B-B3856A1C1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411480</xdr:colOff>
      <xdr:row>19</xdr:row>
      <xdr:rowOff>144780</xdr:rowOff>
    </xdr:from>
    <xdr:to>
      <xdr:col>7</xdr:col>
      <xdr:colOff>137160</xdr:colOff>
      <xdr:row>31</xdr:row>
      <xdr:rowOff>22860</xdr:rowOff>
    </xdr:to>
    <xdr:graphicFrame macro="">
      <xdr:nvGraphicFramePr>
        <xdr:cNvPr id="3" name="Chart 2">
          <a:extLst>
            <a:ext uri="{FF2B5EF4-FFF2-40B4-BE49-F238E27FC236}">
              <a16:creationId xmlns:a16="http://schemas.microsoft.com/office/drawing/2014/main" id="{BE59F5E9-13A2-B7F6-9982-7BFD194652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358140</xdr:colOff>
      <xdr:row>19</xdr:row>
      <xdr:rowOff>53340</xdr:rowOff>
    </xdr:from>
    <xdr:to>
      <xdr:col>15</xdr:col>
      <xdr:colOff>53340</xdr:colOff>
      <xdr:row>34</xdr:row>
      <xdr:rowOff>53340</xdr:rowOff>
    </xdr:to>
    <xdr:graphicFrame macro="">
      <xdr:nvGraphicFramePr>
        <xdr:cNvPr id="4" name="Chart 3">
          <a:extLst>
            <a:ext uri="{FF2B5EF4-FFF2-40B4-BE49-F238E27FC236}">
              <a16:creationId xmlns:a16="http://schemas.microsoft.com/office/drawing/2014/main" id="{D5C5157F-2C22-C6EC-87D9-F56ACDE6D9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90236</xdr:colOff>
      <xdr:row>35</xdr:row>
      <xdr:rowOff>127335</xdr:rowOff>
    </xdr:from>
    <xdr:to>
      <xdr:col>13</xdr:col>
      <xdr:colOff>381000</xdr:colOff>
      <xdr:row>50</xdr:row>
      <xdr:rowOff>163430</xdr:rowOff>
    </xdr:to>
    <xdr:graphicFrame macro="">
      <xdr:nvGraphicFramePr>
        <xdr:cNvPr id="10" name="Chart 9">
          <a:extLst>
            <a:ext uri="{FF2B5EF4-FFF2-40B4-BE49-F238E27FC236}">
              <a16:creationId xmlns:a16="http://schemas.microsoft.com/office/drawing/2014/main" id="{052F781C-255C-30FC-BBA4-5F0BB8E6A5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50132</xdr:colOff>
      <xdr:row>57</xdr:row>
      <xdr:rowOff>97256</xdr:rowOff>
    </xdr:from>
    <xdr:to>
      <xdr:col>11</xdr:col>
      <xdr:colOff>340895</xdr:colOff>
      <xdr:row>72</xdr:row>
      <xdr:rowOff>133351</xdr:rowOff>
    </xdr:to>
    <xdr:graphicFrame macro="">
      <xdr:nvGraphicFramePr>
        <xdr:cNvPr id="12" name="Chart 11">
          <a:extLst>
            <a:ext uri="{FF2B5EF4-FFF2-40B4-BE49-F238E27FC236}">
              <a16:creationId xmlns:a16="http://schemas.microsoft.com/office/drawing/2014/main" id="{028E4FFF-541E-D4AA-F17E-5FA744EC6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188537</xdr:colOff>
      <xdr:row>74</xdr:row>
      <xdr:rowOff>124905</xdr:rowOff>
    </xdr:from>
    <xdr:to>
      <xdr:col>11</xdr:col>
      <xdr:colOff>471341</xdr:colOff>
      <xdr:row>89</xdr:row>
      <xdr:rowOff>157899</xdr:rowOff>
    </xdr:to>
    <xdr:graphicFrame macro="">
      <xdr:nvGraphicFramePr>
        <xdr:cNvPr id="15" name="Chart 14">
          <a:extLst>
            <a:ext uri="{FF2B5EF4-FFF2-40B4-BE49-F238E27FC236}">
              <a16:creationId xmlns:a16="http://schemas.microsoft.com/office/drawing/2014/main" id="{E659D027-3594-9B39-8F6B-E61C0F72CF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268311</xdr:colOff>
      <xdr:row>93</xdr:row>
      <xdr:rowOff>10732</xdr:rowOff>
    </xdr:from>
    <xdr:to>
      <xdr:col>11</xdr:col>
      <xdr:colOff>550521</xdr:colOff>
      <xdr:row>107</xdr:row>
      <xdr:rowOff>124620</xdr:rowOff>
    </xdr:to>
    <xdr:graphicFrame macro="">
      <xdr:nvGraphicFramePr>
        <xdr:cNvPr id="16" name="Chart 15">
          <a:extLst>
            <a:ext uri="{FF2B5EF4-FFF2-40B4-BE49-F238E27FC236}">
              <a16:creationId xmlns:a16="http://schemas.microsoft.com/office/drawing/2014/main" id="{909FDE1A-9981-43A4-B48C-5C006780A6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152400</xdr:colOff>
      <xdr:row>108</xdr:row>
      <xdr:rowOff>171450</xdr:rowOff>
    </xdr:from>
    <xdr:to>
      <xdr:col>11</xdr:col>
      <xdr:colOff>457200</xdr:colOff>
      <xdr:row>124</xdr:row>
      <xdr:rowOff>19050</xdr:rowOff>
    </xdr:to>
    <xdr:graphicFrame macro="">
      <xdr:nvGraphicFramePr>
        <xdr:cNvPr id="18" name="Chart 17">
          <a:extLst>
            <a:ext uri="{FF2B5EF4-FFF2-40B4-BE49-F238E27FC236}">
              <a16:creationId xmlns:a16="http://schemas.microsoft.com/office/drawing/2014/main" id="{611E9A2E-C1B7-1C04-68AF-D5CC66E776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493495</xdr:colOff>
      <xdr:row>57</xdr:row>
      <xdr:rowOff>157729</xdr:rowOff>
    </xdr:from>
    <xdr:to>
      <xdr:col>20</xdr:col>
      <xdr:colOff>203082</xdr:colOff>
      <xdr:row>72</xdr:row>
      <xdr:rowOff>130020</xdr:rowOff>
    </xdr:to>
    <xdr:graphicFrame macro="">
      <xdr:nvGraphicFramePr>
        <xdr:cNvPr id="19" name="Chart 18">
          <a:extLst>
            <a:ext uri="{FF2B5EF4-FFF2-40B4-BE49-F238E27FC236}">
              <a16:creationId xmlns:a16="http://schemas.microsoft.com/office/drawing/2014/main" id="{07EF82C6-EC61-E19B-44BE-3C84B7939C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535854</xdr:colOff>
      <xdr:row>0</xdr:row>
      <xdr:rowOff>0</xdr:rowOff>
    </xdr:from>
    <xdr:to>
      <xdr:col>20</xdr:col>
      <xdr:colOff>152400</xdr:colOff>
      <xdr:row>5</xdr:row>
      <xdr:rowOff>83820</xdr:rowOff>
    </xdr:to>
    <xdr:sp macro="" textlink="">
      <xdr:nvSpPr>
        <xdr:cNvPr id="2" name="Rectangle: Rounded Corners 1">
          <a:extLst>
            <a:ext uri="{FF2B5EF4-FFF2-40B4-BE49-F238E27FC236}">
              <a16:creationId xmlns:a16="http://schemas.microsoft.com/office/drawing/2014/main" id="{EC49646D-1243-9ACF-9E44-59EFD4B3FA4C}"/>
            </a:ext>
          </a:extLst>
        </xdr:cNvPr>
        <xdr:cNvSpPr/>
      </xdr:nvSpPr>
      <xdr:spPr>
        <a:xfrm>
          <a:off x="4193454" y="0"/>
          <a:ext cx="8150946" cy="1015153"/>
        </a:xfrm>
        <a:prstGeom prst="round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400" b="1">
              <a:solidFill>
                <a:schemeClr val="bg1"/>
              </a:solidFill>
              <a:effectLst/>
              <a:latin typeface="+mn-lt"/>
              <a:ea typeface="+mn-ea"/>
              <a:cs typeface="+mn-cs"/>
            </a:rPr>
            <a:t>Medical Cost Data</a:t>
          </a:r>
          <a:r>
            <a:rPr lang="en-IN" sz="4400" baseline="0">
              <a:solidFill>
                <a:schemeClr val="bg1"/>
              </a:solidFill>
            </a:rPr>
            <a:t> </a:t>
          </a:r>
          <a:endParaRPr lang="en-IN" sz="4400">
            <a:solidFill>
              <a:schemeClr val="bg1"/>
            </a:solidFill>
          </a:endParaRPr>
        </a:p>
      </xdr:txBody>
    </xdr:sp>
    <xdr:clientData/>
  </xdr:twoCellAnchor>
  <xdr:twoCellAnchor>
    <xdr:from>
      <xdr:col>0</xdr:col>
      <xdr:colOff>331246</xdr:colOff>
      <xdr:row>14</xdr:row>
      <xdr:rowOff>83820</xdr:rowOff>
    </xdr:from>
    <xdr:to>
      <xdr:col>8</xdr:col>
      <xdr:colOff>30929</xdr:colOff>
      <xdr:row>29</xdr:row>
      <xdr:rowOff>55246</xdr:rowOff>
    </xdr:to>
    <xdr:graphicFrame macro="">
      <xdr:nvGraphicFramePr>
        <xdr:cNvPr id="3" name="Chart 2">
          <a:extLst>
            <a:ext uri="{FF2B5EF4-FFF2-40B4-BE49-F238E27FC236}">
              <a16:creationId xmlns:a16="http://schemas.microsoft.com/office/drawing/2014/main" id="{30CD9063-B6C2-4623-B2ED-DF31928C6A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448</xdr:colOff>
      <xdr:row>14</xdr:row>
      <xdr:rowOff>160020</xdr:rowOff>
    </xdr:from>
    <xdr:to>
      <xdr:col>14</xdr:col>
      <xdr:colOff>203799</xdr:colOff>
      <xdr:row>26</xdr:row>
      <xdr:rowOff>27182</xdr:rowOff>
    </xdr:to>
    <xdr:graphicFrame macro="">
      <xdr:nvGraphicFramePr>
        <xdr:cNvPr id="4" name="Chart 3">
          <a:extLst>
            <a:ext uri="{FF2B5EF4-FFF2-40B4-BE49-F238E27FC236}">
              <a16:creationId xmlns:a16="http://schemas.microsoft.com/office/drawing/2014/main" id="{71D9F822-2F10-4EA4-BDE8-7A56CCA5B9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134547</xdr:colOff>
      <xdr:row>13</xdr:row>
      <xdr:rowOff>144780</xdr:rowOff>
    </xdr:from>
    <xdr:to>
      <xdr:col>22</xdr:col>
      <xdr:colOff>480224</xdr:colOff>
      <xdr:row>28</xdr:row>
      <xdr:rowOff>131133</xdr:rowOff>
    </xdr:to>
    <xdr:graphicFrame macro="">
      <xdr:nvGraphicFramePr>
        <xdr:cNvPr id="5" name="Chart 4">
          <a:extLst>
            <a:ext uri="{FF2B5EF4-FFF2-40B4-BE49-F238E27FC236}">
              <a16:creationId xmlns:a16="http://schemas.microsoft.com/office/drawing/2014/main" id="{1B534A3E-E2A1-47F0-8960-68FE542AC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455706</xdr:colOff>
      <xdr:row>32</xdr:row>
      <xdr:rowOff>84666</xdr:rowOff>
    </xdr:from>
    <xdr:to>
      <xdr:col>8</xdr:col>
      <xdr:colOff>125892</xdr:colOff>
      <xdr:row>47</xdr:row>
      <xdr:rowOff>142848</xdr:rowOff>
    </xdr:to>
    <xdr:graphicFrame macro="">
      <xdr:nvGraphicFramePr>
        <xdr:cNvPr id="12" name="Chart 11">
          <a:extLst>
            <a:ext uri="{FF2B5EF4-FFF2-40B4-BE49-F238E27FC236}">
              <a16:creationId xmlns:a16="http://schemas.microsoft.com/office/drawing/2014/main" id="{F15459F9-8AC5-4B80-9454-F0C12FA1FD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269440</xdr:colOff>
      <xdr:row>31</xdr:row>
      <xdr:rowOff>101600</xdr:rowOff>
    </xdr:from>
    <xdr:to>
      <xdr:col>16</xdr:col>
      <xdr:colOff>544742</xdr:colOff>
      <xdr:row>46</xdr:row>
      <xdr:rowOff>159783</xdr:rowOff>
    </xdr:to>
    <xdr:graphicFrame macro="">
      <xdr:nvGraphicFramePr>
        <xdr:cNvPr id="13" name="Chart 12">
          <a:extLst>
            <a:ext uri="{FF2B5EF4-FFF2-40B4-BE49-F238E27FC236}">
              <a16:creationId xmlns:a16="http://schemas.microsoft.com/office/drawing/2014/main" id="{BF540514-B781-4210-9C9C-C25E47AA0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529153</xdr:colOff>
      <xdr:row>31</xdr:row>
      <xdr:rowOff>79082</xdr:rowOff>
    </xdr:from>
    <xdr:to>
      <xdr:col>26</xdr:col>
      <xdr:colOff>221071</xdr:colOff>
      <xdr:row>46</xdr:row>
      <xdr:rowOff>73461</xdr:rowOff>
    </xdr:to>
    <xdr:graphicFrame macro="">
      <xdr:nvGraphicFramePr>
        <xdr:cNvPr id="14" name="Chart 13">
          <a:extLst>
            <a:ext uri="{FF2B5EF4-FFF2-40B4-BE49-F238E27FC236}">
              <a16:creationId xmlns:a16="http://schemas.microsoft.com/office/drawing/2014/main" id="{E03372ED-F5A3-4136-A280-76884C5EC0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524588</xdr:colOff>
      <xdr:row>50</xdr:row>
      <xdr:rowOff>142068</xdr:rowOff>
    </xdr:from>
    <xdr:to>
      <xdr:col>8</xdr:col>
      <xdr:colOff>202995</xdr:colOff>
      <xdr:row>66</xdr:row>
      <xdr:rowOff>98132</xdr:rowOff>
    </xdr:to>
    <xdr:graphicFrame macro="">
      <xdr:nvGraphicFramePr>
        <xdr:cNvPr id="15" name="Chart 14">
          <a:extLst>
            <a:ext uri="{FF2B5EF4-FFF2-40B4-BE49-F238E27FC236}">
              <a16:creationId xmlns:a16="http://schemas.microsoft.com/office/drawing/2014/main" id="{3C049EED-810E-4728-89BB-EDA186187C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330858</xdr:colOff>
      <xdr:row>50</xdr:row>
      <xdr:rowOff>129153</xdr:rowOff>
    </xdr:from>
    <xdr:to>
      <xdr:col>17</xdr:col>
      <xdr:colOff>10571</xdr:colOff>
      <xdr:row>65</xdr:row>
      <xdr:rowOff>159186</xdr:rowOff>
    </xdr:to>
    <xdr:graphicFrame macro="">
      <xdr:nvGraphicFramePr>
        <xdr:cNvPr id="16" name="Chart 15">
          <a:extLst>
            <a:ext uri="{FF2B5EF4-FFF2-40B4-BE49-F238E27FC236}">
              <a16:creationId xmlns:a16="http://schemas.microsoft.com/office/drawing/2014/main" id="{3468097E-C762-49B4-87D0-6303A9B39A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18</xdr:col>
      <xdr:colOff>589164</xdr:colOff>
      <xdr:row>49</xdr:row>
      <xdr:rowOff>90408</xdr:rowOff>
    </xdr:from>
    <xdr:to>
      <xdr:col>26</xdr:col>
      <xdr:colOff>289567</xdr:colOff>
      <xdr:row>65</xdr:row>
      <xdr:rowOff>48817</xdr:rowOff>
    </xdr:to>
    <xdr:graphicFrame macro="">
      <xdr:nvGraphicFramePr>
        <xdr:cNvPr id="17" name="Chart 16">
          <a:extLst>
            <a:ext uri="{FF2B5EF4-FFF2-40B4-BE49-F238E27FC236}">
              <a16:creationId xmlns:a16="http://schemas.microsoft.com/office/drawing/2014/main" id="{F80E99A7-5EEC-4D31-A796-54249233E3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571500</xdr:colOff>
      <xdr:row>6</xdr:row>
      <xdr:rowOff>76200</xdr:rowOff>
    </xdr:from>
    <xdr:to>
      <xdr:col>18</xdr:col>
      <xdr:colOff>438150</xdr:colOff>
      <xdr:row>12</xdr:row>
      <xdr:rowOff>0</xdr:rowOff>
    </xdr:to>
    <xdr:sp macro="" textlink="">
      <xdr:nvSpPr>
        <xdr:cNvPr id="19" name="Rectangle: Rounded Corners 18">
          <a:extLst>
            <a:ext uri="{FF2B5EF4-FFF2-40B4-BE49-F238E27FC236}">
              <a16:creationId xmlns:a16="http://schemas.microsoft.com/office/drawing/2014/main" id="{4528706A-DD0D-0539-7AD0-7B5B87B64A98}"/>
            </a:ext>
          </a:extLst>
        </xdr:cNvPr>
        <xdr:cNvSpPr/>
      </xdr:nvSpPr>
      <xdr:spPr>
        <a:xfrm>
          <a:off x="6083537" y="1187153"/>
          <a:ext cx="5378688" cy="103475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b="0"/>
            <a:t>Total</a:t>
          </a:r>
          <a:r>
            <a:rPr lang="en-IN" sz="2400" b="0" baseline="0"/>
            <a:t> Cost</a:t>
          </a:r>
          <a:endParaRPr lang="en-IN" sz="2400" b="0"/>
        </a:p>
      </xdr:txBody>
    </xdr:sp>
    <xdr:clientData/>
  </xdr:twoCellAnchor>
  <xdr:twoCellAnchor>
    <xdr:from>
      <xdr:col>12</xdr:col>
      <xdr:colOff>291982</xdr:colOff>
      <xdr:row>9</xdr:row>
      <xdr:rowOff>21364</xdr:rowOff>
    </xdr:from>
    <xdr:to>
      <xdr:col>16</xdr:col>
      <xdr:colOff>199402</xdr:colOff>
      <xdr:row>11</xdr:row>
      <xdr:rowOff>64093</xdr:rowOff>
    </xdr:to>
    <xdr:sp macro="" textlink="MedicalAnalysis!A4">
      <xdr:nvSpPr>
        <xdr:cNvPr id="22" name="Rectangle: Rounded Corners 21">
          <a:extLst>
            <a:ext uri="{FF2B5EF4-FFF2-40B4-BE49-F238E27FC236}">
              <a16:creationId xmlns:a16="http://schemas.microsoft.com/office/drawing/2014/main" id="{3CCC3D48-FB48-A176-44A6-323679614978}"/>
            </a:ext>
          </a:extLst>
        </xdr:cNvPr>
        <xdr:cNvSpPr/>
      </xdr:nvSpPr>
      <xdr:spPr>
        <a:xfrm>
          <a:off x="7641365" y="1687794"/>
          <a:ext cx="2357215" cy="413047"/>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AE0CB44-C44A-47F5-82B2-6610DCC01FA8}" type="TxLink">
            <a:rPr lang="en-US" sz="2400" b="1" i="0" u="none" strike="noStrike">
              <a:solidFill>
                <a:schemeClr val="bg1"/>
              </a:solidFill>
              <a:latin typeface="Calibri"/>
              <a:ea typeface="Calibri"/>
              <a:cs typeface="Calibri"/>
            </a:rPr>
            <a:pPr algn="l"/>
            <a:t>₹ 1,09,58,663.71</a:t>
          </a:fld>
          <a:endParaRPr lang="en-IN" sz="2400" b="1">
            <a:solidFill>
              <a:schemeClr val="bg1"/>
            </a:solidFill>
          </a:endParaRPr>
        </a:p>
      </xdr:txBody>
    </xdr:sp>
    <xdr:clientData/>
  </xdr:twoCellAnchor>
  <xdr:twoCellAnchor editAs="oneCell">
    <xdr:from>
      <xdr:col>30</xdr:col>
      <xdr:colOff>495300</xdr:colOff>
      <xdr:row>33</xdr:row>
      <xdr:rowOff>53340</xdr:rowOff>
    </xdr:from>
    <xdr:to>
      <xdr:col>33</xdr:col>
      <xdr:colOff>482600</xdr:colOff>
      <xdr:row>46</xdr:row>
      <xdr:rowOff>43815</xdr:rowOff>
    </xdr:to>
    <mc:AlternateContent xmlns:mc="http://schemas.openxmlformats.org/markup-compatibility/2006" xmlns:a14="http://schemas.microsoft.com/office/drawing/2010/main">
      <mc:Choice Requires="a14">
        <xdr:graphicFrame macro="">
          <xdr:nvGraphicFramePr>
            <xdr:cNvPr id="23" name="sex">
              <a:extLst>
                <a:ext uri="{FF2B5EF4-FFF2-40B4-BE49-F238E27FC236}">
                  <a16:creationId xmlns:a16="http://schemas.microsoft.com/office/drawing/2014/main" id="{94B2E6BC-3B8B-7894-7C47-47CB622B9621}"/>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18679391" y="6339840"/>
              <a:ext cx="1805709"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594360</xdr:colOff>
      <xdr:row>16</xdr:row>
      <xdr:rowOff>46566</xdr:rowOff>
    </xdr:from>
    <xdr:to>
      <xdr:col>34</xdr:col>
      <xdr:colOff>581660</xdr:colOff>
      <xdr:row>29</xdr:row>
      <xdr:rowOff>37041</xdr:rowOff>
    </xdr:to>
    <mc:AlternateContent xmlns:mc="http://schemas.openxmlformats.org/markup-compatibility/2006" xmlns:a14="http://schemas.microsoft.com/office/drawing/2010/main">
      <mc:Choice Requires="a14">
        <xdr:graphicFrame macro="">
          <xdr:nvGraphicFramePr>
            <xdr:cNvPr id="24" name="Bmi Category">
              <a:extLst>
                <a:ext uri="{FF2B5EF4-FFF2-40B4-BE49-F238E27FC236}">
                  <a16:creationId xmlns:a16="http://schemas.microsoft.com/office/drawing/2014/main" id="{F6B95F99-4207-3C8A-CBCD-08E3FA789298}"/>
                </a:ext>
              </a:extLst>
            </xdr:cNvPr>
            <xdr:cNvGraphicFramePr/>
          </xdr:nvGraphicFramePr>
          <xdr:xfrm>
            <a:off x="0" y="0"/>
            <a:ext cx="0" cy="0"/>
          </xdr:xfrm>
          <a:graphic>
            <a:graphicData uri="http://schemas.microsoft.com/office/drawing/2010/slicer">
              <sle:slicer xmlns:sle="http://schemas.microsoft.com/office/drawing/2010/slicer" name="Bmi Category"/>
            </a:graphicData>
          </a:graphic>
        </xdr:graphicFrame>
      </mc:Choice>
      <mc:Fallback xmlns="">
        <xdr:sp macro="" textlink="">
          <xdr:nvSpPr>
            <xdr:cNvPr id="0" name=""/>
            <xdr:cNvSpPr>
              <a:spLocks noTextEdit="1"/>
            </xdr:cNvSpPr>
          </xdr:nvSpPr>
          <xdr:spPr>
            <a:xfrm>
              <a:off x="19384587" y="3094566"/>
              <a:ext cx="1805709"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36</xdr:col>
      <xdr:colOff>354753</xdr:colOff>
      <xdr:row>30</xdr:row>
      <xdr:rowOff>187960</xdr:rowOff>
    </xdr:from>
    <xdr:to>
      <xdr:col>39</xdr:col>
      <xdr:colOff>342053</xdr:colOff>
      <xdr:row>43</xdr:row>
      <xdr:rowOff>178435</xdr:rowOff>
    </xdr:to>
    <mc:AlternateContent xmlns:mc="http://schemas.openxmlformats.org/markup-compatibility/2006" xmlns:a14="http://schemas.microsoft.com/office/drawing/2010/main">
      <mc:Choice Requires="a14">
        <xdr:graphicFrame macro="">
          <xdr:nvGraphicFramePr>
            <xdr:cNvPr id="25" name="smoker">
              <a:extLst>
                <a:ext uri="{FF2B5EF4-FFF2-40B4-BE49-F238E27FC236}">
                  <a16:creationId xmlns:a16="http://schemas.microsoft.com/office/drawing/2014/main" id="{EAA5730A-F5F0-349D-2567-FA833AB67539}"/>
                </a:ext>
              </a:extLst>
            </xdr:cNvPr>
            <xdr:cNvGraphicFramePr/>
          </xdr:nvGraphicFramePr>
          <xdr:xfrm>
            <a:off x="0" y="0"/>
            <a:ext cx="0" cy="0"/>
          </xdr:xfrm>
          <a:graphic>
            <a:graphicData uri="http://schemas.microsoft.com/office/drawing/2010/slicer">
              <sle:slicer xmlns:sle="http://schemas.microsoft.com/office/drawing/2010/slicer" name="smoker"/>
            </a:graphicData>
          </a:graphic>
        </xdr:graphicFrame>
      </mc:Choice>
      <mc:Fallback xmlns="">
        <xdr:sp macro="" textlink="">
          <xdr:nvSpPr>
            <xdr:cNvPr id="0" name=""/>
            <xdr:cNvSpPr>
              <a:spLocks noTextEdit="1"/>
            </xdr:cNvSpPr>
          </xdr:nvSpPr>
          <xdr:spPr>
            <a:xfrm>
              <a:off x="22175662" y="5895340"/>
              <a:ext cx="1805709" cy="24745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36</xdr:col>
      <xdr:colOff>411480</xdr:colOff>
      <xdr:row>14</xdr:row>
      <xdr:rowOff>181187</xdr:rowOff>
    </xdr:from>
    <xdr:to>
      <xdr:col>39</xdr:col>
      <xdr:colOff>398780</xdr:colOff>
      <xdr:row>27</xdr:row>
      <xdr:rowOff>171662</xdr:rowOff>
    </xdr:to>
    <mc:AlternateContent xmlns:mc="http://schemas.openxmlformats.org/markup-compatibility/2006" xmlns:a14="http://schemas.microsoft.com/office/drawing/2010/main">
      <mc:Choice Requires="a14">
        <xdr:graphicFrame macro="">
          <xdr:nvGraphicFramePr>
            <xdr:cNvPr id="26" name="region">
              <a:extLst>
                <a:ext uri="{FF2B5EF4-FFF2-40B4-BE49-F238E27FC236}">
                  <a16:creationId xmlns:a16="http://schemas.microsoft.com/office/drawing/2014/main" id="{5068301F-C9A6-6AE3-9F46-92245872F45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232389" y="2848187"/>
              <a:ext cx="1805709"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1125669</xdr:colOff>
      <xdr:row>14</xdr:row>
      <xdr:rowOff>179502</xdr:rowOff>
    </xdr:from>
    <xdr:to>
      <xdr:col>16</xdr:col>
      <xdr:colOff>282363</xdr:colOff>
      <xdr:row>29</xdr:row>
      <xdr:rowOff>143829</xdr:rowOff>
    </xdr:to>
    <xdr:graphicFrame macro="">
      <xdr:nvGraphicFramePr>
        <xdr:cNvPr id="2" name="Chart 1">
          <a:extLst>
            <a:ext uri="{FF2B5EF4-FFF2-40B4-BE49-F238E27FC236}">
              <a16:creationId xmlns:a16="http://schemas.microsoft.com/office/drawing/2014/main" id="{D910BC3E-E18D-99A8-E7E0-1FD94B95E0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hit Gupta" refreshedDate="46058.968952199073" createdVersion="8" refreshedVersion="8" minRefreshableVersion="3" recordCount="1338" xr:uid="{8769AF51-896A-4649-A7F4-200068EC26CB}">
  <cacheSource type="worksheet">
    <worksheetSource ref="A1:H1339" sheet="insurance (4)0---"/>
  </cacheSource>
  <cacheFields count="8">
    <cacheField name="age" numFmtId="0">
      <sharedItems containsSemiMixedTypes="0" containsString="0" containsNumber="1" containsInteger="1" minValue="18" maxValue="64" count="47">
        <n v="19"/>
        <n v="18"/>
        <n v="28"/>
        <n v="33"/>
        <n v="32"/>
        <n v="31"/>
        <n v="46"/>
        <n v="37"/>
        <n v="60"/>
        <n v="25"/>
        <n v="62"/>
        <n v="23"/>
        <n v="56"/>
        <n v="27"/>
        <n v="52"/>
        <n v="30"/>
        <n v="34"/>
        <n v="59"/>
        <n v="63"/>
        <n v="55"/>
        <n v="22"/>
        <n v="26"/>
        <n v="35"/>
        <n v="24"/>
        <n v="41"/>
        <n v="38"/>
        <n v="36"/>
        <n v="21"/>
        <n v="48"/>
        <n v="40"/>
        <n v="58"/>
        <n v="53"/>
        <n v="43"/>
        <n v="64"/>
        <n v="20"/>
        <n v="61"/>
        <n v="44"/>
        <n v="57"/>
        <n v="29"/>
        <n v="45"/>
        <n v="54"/>
        <n v="49"/>
        <n v="47"/>
        <n v="51"/>
        <n v="42"/>
        <n v="50"/>
        <n v="39"/>
      </sharedItems>
    </cacheField>
    <cacheField name="sex" numFmtId="0">
      <sharedItems count="2">
        <s v="female"/>
        <s v="male"/>
      </sharedItems>
    </cacheField>
    <cacheField name="bmi" numFmtId="0">
      <sharedItems containsSemiMixedTypes="0" containsString="0" containsNumber="1" minValue="15.96" maxValue="53.13"/>
    </cacheField>
    <cacheField name="Bmi Category" numFmtId="0">
      <sharedItems count="4">
        <s v="Overweight"/>
        <s v="Obese"/>
        <s v="Normal"/>
        <s v="Underweight"/>
      </sharedItems>
    </cacheField>
    <cacheField name="children" numFmtId="0">
      <sharedItems containsSemiMixedTypes="0" containsString="0" containsNumber="1" containsInteger="1" minValue="0" maxValue="5"/>
    </cacheField>
    <cacheField name="smoker" numFmtId="0">
      <sharedItems count="2">
        <s v="yes"/>
        <s v="no"/>
      </sharedItems>
    </cacheField>
    <cacheField name="region" numFmtId="0">
      <sharedItems count="4">
        <s v="southwest"/>
        <s v="southeast"/>
        <s v="northwest"/>
        <s v="northeast"/>
      </sharedItems>
    </cacheField>
    <cacheField name="charges" numFmtId="0">
      <sharedItems containsSemiMixedTypes="0" containsString="0" containsNumber="1" minValue="1121.8739" maxValue="63770.428010000003"/>
    </cacheField>
  </cacheFields>
  <extLst>
    <ext xmlns:x14="http://schemas.microsoft.com/office/spreadsheetml/2009/9/main" uri="{725AE2AE-9491-48be-B2B4-4EB974FC3084}">
      <x14:pivotCacheDefinition pivotCacheId="13259727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8">
  <r>
    <x v="0"/>
    <x v="0"/>
    <n v="27.9"/>
    <x v="0"/>
    <n v="0"/>
    <x v="0"/>
    <x v="0"/>
    <n v="16884.923999999999"/>
  </r>
  <r>
    <x v="1"/>
    <x v="1"/>
    <n v="33.770000000000003"/>
    <x v="1"/>
    <n v="1"/>
    <x v="1"/>
    <x v="1"/>
    <n v="1725.5523000000001"/>
  </r>
  <r>
    <x v="2"/>
    <x v="1"/>
    <n v="33"/>
    <x v="1"/>
    <n v="3"/>
    <x v="1"/>
    <x v="1"/>
    <n v="4449.4620000000004"/>
  </r>
  <r>
    <x v="3"/>
    <x v="1"/>
    <n v="22.704999999999998"/>
    <x v="2"/>
    <n v="0"/>
    <x v="1"/>
    <x v="2"/>
    <n v="21984.47061"/>
  </r>
  <r>
    <x v="4"/>
    <x v="1"/>
    <n v="28.88"/>
    <x v="0"/>
    <n v="0"/>
    <x v="1"/>
    <x v="2"/>
    <n v="3866.8552"/>
  </r>
  <r>
    <x v="5"/>
    <x v="0"/>
    <n v="25.74"/>
    <x v="0"/>
    <n v="0"/>
    <x v="1"/>
    <x v="1"/>
    <n v="3756.6215999999999"/>
  </r>
  <r>
    <x v="6"/>
    <x v="0"/>
    <n v="33.44"/>
    <x v="1"/>
    <n v="1"/>
    <x v="1"/>
    <x v="1"/>
    <n v="8240.5895999999993"/>
  </r>
  <r>
    <x v="7"/>
    <x v="0"/>
    <n v="27.74"/>
    <x v="0"/>
    <n v="3"/>
    <x v="1"/>
    <x v="2"/>
    <n v="7281.5056000000004"/>
  </r>
  <r>
    <x v="7"/>
    <x v="1"/>
    <n v="29.83"/>
    <x v="0"/>
    <n v="2"/>
    <x v="1"/>
    <x v="3"/>
    <n v="6406.4107000000004"/>
  </r>
  <r>
    <x v="8"/>
    <x v="0"/>
    <n v="25.84"/>
    <x v="0"/>
    <n v="0"/>
    <x v="1"/>
    <x v="2"/>
    <n v="28923.136920000001"/>
  </r>
  <r>
    <x v="9"/>
    <x v="1"/>
    <n v="26.22"/>
    <x v="0"/>
    <n v="0"/>
    <x v="1"/>
    <x v="3"/>
    <n v="2721.3208"/>
  </r>
  <r>
    <x v="10"/>
    <x v="0"/>
    <n v="26.29"/>
    <x v="0"/>
    <n v="0"/>
    <x v="0"/>
    <x v="1"/>
    <n v="27808.7251"/>
  </r>
  <r>
    <x v="11"/>
    <x v="1"/>
    <n v="34.4"/>
    <x v="1"/>
    <n v="0"/>
    <x v="1"/>
    <x v="0"/>
    <n v="1826.8430000000001"/>
  </r>
  <r>
    <x v="12"/>
    <x v="0"/>
    <n v="39.82"/>
    <x v="1"/>
    <n v="0"/>
    <x v="1"/>
    <x v="1"/>
    <n v="11090.7178"/>
  </r>
  <r>
    <x v="13"/>
    <x v="1"/>
    <n v="42.13"/>
    <x v="1"/>
    <n v="0"/>
    <x v="0"/>
    <x v="1"/>
    <n v="39611.757700000002"/>
  </r>
  <r>
    <x v="0"/>
    <x v="1"/>
    <n v="24.6"/>
    <x v="2"/>
    <n v="1"/>
    <x v="1"/>
    <x v="0"/>
    <n v="1837.2370000000001"/>
  </r>
  <r>
    <x v="14"/>
    <x v="0"/>
    <n v="30.78"/>
    <x v="1"/>
    <n v="1"/>
    <x v="1"/>
    <x v="3"/>
    <n v="10797.3362"/>
  </r>
  <r>
    <x v="11"/>
    <x v="1"/>
    <n v="23.844999999999999"/>
    <x v="2"/>
    <n v="0"/>
    <x v="1"/>
    <x v="3"/>
    <n v="2395.17155"/>
  </r>
  <r>
    <x v="12"/>
    <x v="1"/>
    <n v="40.299999999999997"/>
    <x v="1"/>
    <n v="0"/>
    <x v="1"/>
    <x v="0"/>
    <n v="10602.385"/>
  </r>
  <r>
    <x v="15"/>
    <x v="1"/>
    <n v="18.600000000000001"/>
    <x v="2"/>
    <n v="0"/>
    <x v="0"/>
    <x v="0"/>
    <n v="36837.466999999997"/>
  </r>
  <r>
    <x v="8"/>
    <x v="0"/>
    <n v="36.005000000000003"/>
    <x v="1"/>
    <n v="0"/>
    <x v="1"/>
    <x v="3"/>
    <n v="13228.846949999999"/>
  </r>
  <r>
    <x v="15"/>
    <x v="0"/>
    <n v="32.4"/>
    <x v="1"/>
    <n v="1"/>
    <x v="1"/>
    <x v="0"/>
    <n v="4149.7359999999999"/>
  </r>
  <r>
    <x v="1"/>
    <x v="1"/>
    <n v="34.1"/>
    <x v="1"/>
    <n v="0"/>
    <x v="1"/>
    <x v="1"/>
    <n v="1137.011"/>
  </r>
  <r>
    <x v="16"/>
    <x v="0"/>
    <n v="31.92"/>
    <x v="1"/>
    <n v="1"/>
    <x v="0"/>
    <x v="3"/>
    <n v="37701.876799999998"/>
  </r>
  <r>
    <x v="7"/>
    <x v="1"/>
    <n v="28.024999999999999"/>
    <x v="0"/>
    <n v="2"/>
    <x v="1"/>
    <x v="2"/>
    <n v="6203.90175"/>
  </r>
  <r>
    <x v="17"/>
    <x v="0"/>
    <n v="27.72"/>
    <x v="0"/>
    <n v="3"/>
    <x v="1"/>
    <x v="1"/>
    <n v="14001.1338"/>
  </r>
  <r>
    <x v="18"/>
    <x v="0"/>
    <n v="23.085000000000001"/>
    <x v="2"/>
    <n v="0"/>
    <x v="1"/>
    <x v="3"/>
    <n v="14451.835150000001"/>
  </r>
  <r>
    <x v="19"/>
    <x v="0"/>
    <n v="32.774999999999999"/>
    <x v="1"/>
    <n v="2"/>
    <x v="1"/>
    <x v="2"/>
    <n v="12268.632250000001"/>
  </r>
  <r>
    <x v="11"/>
    <x v="1"/>
    <n v="17.385000000000002"/>
    <x v="3"/>
    <n v="1"/>
    <x v="1"/>
    <x v="2"/>
    <n v="2775.1921499999999"/>
  </r>
  <r>
    <x v="5"/>
    <x v="1"/>
    <n v="36.299999999999997"/>
    <x v="1"/>
    <n v="2"/>
    <x v="0"/>
    <x v="0"/>
    <n v="38711"/>
  </r>
  <r>
    <x v="20"/>
    <x v="1"/>
    <n v="35.6"/>
    <x v="1"/>
    <n v="0"/>
    <x v="0"/>
    <x v="0"/>
    <n v="35585.576000000001"/>
  </r>
  <r>
    <x v="1"/>
    <x v="0"/>
    <n v="26.315000000000001"/>
    <x v="0"/>
    <n v="0"/>
    <x v="1"/>
    <x v="3"/>
    <n v="2198.1898500000002"/>
  </r>
  <r>
    <x v="0"/>
    <x v="0"/>
    <n v="28.6"/>
    <x v="0"/>
    <n v="5"/>
    <x v="1"/>
    <x v="0"/>
    <n v="4687.7969999999996"/>
  </r>
  <r>
    <x v="18"/>
    <x v="1"/>
    <n v="28.31"/>
    <x v="0"/>
    <n v="0"/>
    <x v="1"/>
    <x v="2"/>
    <n v="13770.097900000001"/>
  </r>
  <r>
    <x v="2"/>
    <x v="1"/>
    <n v="36.4"/>
    <x v="1"/>
    <n v="1"/>
    <x v="0"/>
    <x v="0"/>
    <n v="51194.559139999998"/>
  </r>
  <r>
    <x v="0"/>
    <x v="1"/>
    <n v="20.425000000000001"/>
    <x v="2"/>
    <n v="0"/>
    <x v="1"/>
    <x v="2"/>
    <n v="1625.4337499999999"/>
  </r>
  <r>
    <x v="10"/>
    <x v="0"/>
    <n v="32.965000000000003"/>
    <x v="1"/>
    <n v="3"/>
    <x v="1"/>
    <x v="2"/>
    <n v="15612.19335"/>
  </r>
  <r>
    <x v="21"/>
    <x v="1"/>
    <n v="20.8"/>
    <x v="2"/>
    <n v="0"/>
    <x v="1"/>
    <x v="0"/>
    <n v="2302.3000000000002"/>
  </r>
  <r>
    <x v="22"/>
    <x v="1"/>
    <n v="36.67"/>
    <x v="1"/>
    <n v="1"/>
    <x v="0"/>
    <x v="3"/>
    <n v="39774.276299999998"/>
  </r>
  <r>
    <x v="8"/>
    <x v="1"/>
    <n v="39.9"/>
    <x v="1"/>
    <n v="0"/>
    <x v="0"/>
    <x v="0"/>
    <n v="48173.360999999997"/>
  </r>
  <r>
    <x v="23"/>
    <x v="0"/>
    <n v="26.6"/>
    <x v="0"/>
    <n v="0"/>
    <x v="1"/>
    <x v="3"/>
    <n v="3046.0619999999999"/>
  </r>
  <r>
    <x v="5"/>
    <x v="0"/>
    <n v="36.630000000000003"/>
    <x v="1"/>
    <n v="2"/>
    <x v="1"/>
    <x v="1"/>
    <n v="4949.7587000000003"/>
  </r>
  <r>
    <x v="24"/>
    <x v="1"/>
    <n v="21.78"/>
    <x v="2"/>
    <n v="1"/>
    <x v="1"/>
    <x v="1"/>
    <n v="6272.4772000000003"/>
  </r>
  <r>
    <x v="7"/>
    <x v="0"/>
    <n v="30.8"/>
    <x v="1"/>
    <n v="2"/>
    <x v="1"/>
    <x v="1"/>
    <n v="6313.759"/>
  </r>
  <r>
    <x v="25"/>
    <x v="1"/>
    <n v="37.049999999999997"/>
    <x v="1"/>
    <n v="1"/>
    <x v="1"/>
    <x v="3"/>
    <n v="6079.6715000000004"/>
  </r>
  <r>
    <x v="19"/>
    <x v="1"/>
    <n v="37.299999999999997"/>
    <x v="1"/>
    <n v="0"/>
    <x v="1"/>
    <x v="0"/>
    <n v="20630.283510000001"/>
  </r>
  <r>
    <x v="1"/>
    <x v="0"/>
    <n v="38.664999999999999"/>
    <x v="1"/>
    <n v="2"/>
    <x v="1"/>
    <x v="3"/>
    <n v="3393.35635"/>
  </r>
  <r>
    <x v="2"/>
    <x v="0"/>
    <n v="34.770000000000003"/>
    <x v="1"/>
    <n v="0"/>
    <x v="1"/>
    <x v="2"/>
    <n v="3556.9223000000002"/>
  </r>
  <r>
    <x v="8"/>
    <x v="0"/>
    <n v="24.53"/>
    <x v="2"/>
    <n v="0"/>
    <x v="1"/>
    <x v="1"/>
    <n v="12629.896699999999"/>
  </r>
  <r>
    <x v="26"/>
    <x v="1"/>
    <n v="35.200000000000003"/>
    <x v="1"/>
    <n v="1"/>
    <x v="0"/>
    <x v="1"/>
    <n v="38709.175999999999"/>
  </r>
  <r>
    <x v="1"/>
    <x v="0"/>
    <n v="35.625"/>
    <x v="1"/>
    <n v="0"/>
    <x v="1"/>
    <x v="3"/>
    <n v="2211.1307499999998"/>
  </r>
  <r>
    <x v="27"/>
    <x v="0"/>
    <n v="33.630000000000003"/>
    <x v="1"/>
    <n v="2"/>
    <x v="1"/>
    <x v="2"/>
    <n v="3579.8287"/>
  </r>
  <r>
    <x v="28"/>
    <x v="1"/>
    <n v="28"/>
    <x v="0"/>
    <n v="1"/>
    <x v="0"/>
    <x v="0"/>
    <n v="23568.272000000001"/>
  </r>
  <r>
    <x v="26"/>
    <x v="1"/>
    <n v="34.43"/>
    <x v="1"/>
    <n v="0"/>
    <x v="0"/>
    <x v="1"/>
    <n v="37742.575700000001"/>
  </r>
  <r>
    <x v="29"/>
    <x v="0"/>
    <n v="28.69"/>
    <x v="0"/>
    <n v="3"/>
    <x v="1"/>
    <x v="2"/>
    <n v="8059.6791000000003"/>
  </r>
  <r>
    <x v="30"/>
    <x v="1"/>
    <n v="36.954999999999998"/>
    <x v="1"/>
    <n v="2"/>
    <x v="0"/>
    <x v="2"/>
    <n v="47496.494449999998"/>
  </r>
  <r>
    <x v="30"/>
    <x v="0"/>
    <n v="31.824999999999999"/>
    <x v="1"/>
    <n v="2"/>
    <x v="1"/>
    <x v="3"/>
    <n v="13607.36875"/>
  </r>
  <r>
    <x v="1"/>
    <x v="1"/>
    <n v="31.68"/>
    <x v="1"/>
    <n v="2"/>
    <x v="0"/>
    <x v="1"/>
    <n v="34303.167200000004"/>
  </r>
  <r>
    <x v="31"/>
    <x v="0"/>
    <n v="22.88"/>
    <x v="2"/>
    <n v="1"/>
    <x v="0"/>
    <x v="1"/>
    <n v="23244.790199999999"/>
  </r>
  <r>
    <x v="16"/>
    <x v="0"/>
    <n v="37.335000000000001"/>
    <x v="1"/>
    <n v="2"/>
    <x v="1"/>
    <x v="2"/>
    <n v="5989.5236500000001"/>
  </r>
  <r>
    <x v="32"/>
    <x v="1"/>
    <n v="27.36"/>
    <x v="0"/>
    <n v="3"/>
    <x v="1"/>
    <x v="3"/>
    <n v="8606.2173999999995"/>
  </r>
  <r>
    <x v="9"/>
    <x v="1"/>
    <n v="33.659999999999997"/>
    <x v="1"/>
    <n v="4"/>
    <x v="1"/>
    <x v="1"/>
    <n v="4504.6624000000002"/>
  </r>
  <r>
    <x v="33"/>
    <x v="1"/>
    <n v="24.7"/>
    <x v="2"/>
    <n v="1"/>
    <x v="1"/>
    <x v="2"/>
    <n v="30166.618170000002"/>
  </r>
  <r>
    <x v="2"/>
    <x v="0"/>
    <n v="25.934999999999999"/>
    <x v="0"/>
    <n v="1"/>
    <x v="1"/>
    <x v="2"/>
    <n v="4133.6416499999996"/>
  </r>
  <r>
    <x v="34"/>
    <x v="0"/>
    <n v="22.42"/>
    <x v="2"/>
    <n v="0"/>
    <x v="0"/>
    <x v="2"/>
    <n v="14711.7438"/>
  </r>
  <r>
    <x v="0"/>
    <x v="0"/>
    <n v="28.9"/>
    <x v="0"/>
    <n v="0"/>
    <x v="1"/>
    <x v="0"/>
    <n v="1743.2139999999999"/>
  </r>
  <r>
    <x v="35"/>
    <x v="0"/>
    <n v="39.1"/>
    <x v="1"/>
    <n v="2"/>
    <x v="1"/>
    <x v="0"/>
    <n v="14235.072"/>
  </r>
  <r>
    <x v="29"/>
    <x v="1"/>
    <n v="26.315000000000001"/>
    <x v="0"/>
    <n v="1"/>
    <x v="1"/>
    <x v="2"/>
    <n v="6389.3778499999999"/>
  </r>
  <r>
    <x v="29"/>
    <x v="0"/>
    <n v="36.19"/>
    <x v="1"/>
    <n v="0"/>
    <x v="1"/>
    <x v="1"/>
    <n v="5920.1040999999996"/>
  </r>
  <r>
    <x v="2"/>
    <x v="1"/>
    <n v="23.98"/>
    <x v="2"/>
    <n v="3"/>
    <x v="0"/>
    <x v="1"/>
    <n v="17663.144199999999"/>
  </r>
  <r>
    <x v="13"/>
    <x v="0"/>
    <n v="24.75"/>
    <x v="2"/>
    <n v="0"/>
    <x v="0"/>
    <x v="1"/>
    <n v="16577.779500000001"/>
  </r>
  <r>
    <x v="5"/>
    <x v="1"/>
    <n v="28.5"/>
    <x v="0"/>
    <n v="5"/>
    <x v="1"/>
    <x v="3"/>
    <n v="6799.4579999999996"/>
  </r>
  <r>
    <x v="31"/>
    <x v="0"/>
    <n v="28.1"/>
    <x v="0"/>
    <n v="3"/>
    <x v="1"/>
    <x v="0"/>
    <n v="11741.726000000001"/>
  </r>
  <r>
    <x v="30"/>
    <x v="1"/>
    <n v="32.01"/>
    <x v="1"/>
    <n v="1"/>
    <x v="1"/>
    <x v="1"/>
    <n v="11946.625899999999"/>
  </r>
  <r>
    <x v="36"/>
    <x v="1"/>
    <n v="27.4"/>
    <x v="0"/>
    <n v="2"/>
    <x v="1"/>
    <x v="0"/>
    <n v="7726.8540000000003"/>
  </r>
  <r>
    <x v="37"/>
    <x v="1"/>
    <n v="34.01"/>
    <x v="1"/>
    <n v="0"/>
    <x v="1"/>
    <x v="2"/>
    <n v="11356.660900000001"/>
  </r>
  <r>
    <x v="38"/>
    <x v="0"/>
    <n v="29.59"/>
    <x v="0"/>
    <n v="1"/>
    <x v="1"/>
    <x v="1"/>
    <n v="3947.4131000000002"/>
  </r>
  <r>
    <x v="27"/>
    <x v="1"/>
    <n v="35.53"/>
    <x v="1"/>
    <n v="0"/>
    <x v="1"/>
    <x v="1"/>
    <n v="1532.4697000000001"/>
  </r>
  <r>
    <x v="20"/>
    <x v="0"/>
    <n v="39.805"/>
    <x v="1"/>
    <n v="0"/>
    <x v="1"/>
    <x v="3"/>
    <n v="2755.0209500000001"/>
  </r>
  <r>
    <x v="24"/>
    <x v="0"/>
    <n v="32.965000000000003"/>
    <x v="1"/>
    <n v="0"/>
    <x v="1"/>
    <x v="2"/>
    <n v="6571.0243499999997"/>
  </r>
  <r>
    <x v="5"/>
    <x v="1"/>
    <n v="26.885000000000002"/>
    <x v="0"/>
    <n v="1"/>
    <x v="1"/>
    <x v="3"/>
    <n v="4441.2131499999996"/>
  </r>
  <r>
    <x v="39"/>
    <x v="0"/>
    <n v="38.284999999999997"/>
    <x v="1"/>
    <n v="0"/>
    <x v="1"/>
    <x v="3"/>
    <n v="7935.29115"/>
  </r>
  <r>
    <x v="20"/>
    <x v="1"/>
    <n v="37.619999999999997"/>
    <x v="1"/>
    <n v="1"/>
    <x v="0"/>
    <x v="1"/>
    <n v="37165.163800000002"/>
  </r>
  <r>
    <x v="28"/>
    <x v="0"/>
    <n v="41.23"/>
    <x v="1"/>
    <n v="4"/>
    <x v="1"/>
    <x v="2"/>
    <n v="11033.661700000001"/>
  </r>
  <r>
    <x v="7"/>
    <x v="0"/>
    <n v="34.799999999999997"/>
    <x v="1"/>
    <n v="2"/>
    <x v="0"/>
    <x v="0"/>
    <n v="39836.519"/>
  </r>
  <r>
    <x v="39"/>
    <x v="1"/>
    <n v="22.895"/>
    <x v="2"/>
    <n v="2"/>
    <x v="0"/>
    <x v="2"/>
    <n v="21098.554049999999"/>
  </r>
  <r>
    <x v="37"/>
    <x v="0"/>
    <n v="31.16"/>
    <x v="1"/>
    <n v="0"/>
    <x v="0"/>
    <x v="2"/>
    <n v="43578.939400000003"/>
  </r>
  <r>
    <x v="12"/>
    <x v="0"/>
    <n v="27.2"/>
    <x v="0"/>
    <n v="0"/>
    <x v="1"/>
    <x v="0"/>
    <n v="11073.175999999999"/>
  </r>
  <r>
    <x v="6"/>
    <x v="0"/>
    <n v="27.74"/>
    <x v="0"/>
    <n v="0"/>
    <x v="1"/>
    <x v="2"/>
    <n v="8026.6665999999996"/>
  </r>
  <r>
    <x v="19"/>
    <x v="0"/>
    <n v="26.98"/>
    <x v="0"/>
    <n v="0"/>
    <x v="1"/>
    <x v="2"/>
    <n v="11082.5772"/>
  </r>
  <r>
    <x v="27"/>
    <x v="0"/>
    <n v="39.49"/>
    <x v="1"/>
    <n v="0"/>
    <x v="1"/>
    <x v="1"/>
    <n v="2026.9740999999999"/>
  </r>
  <r>
    <x v="31"/>
    <x v="0"/>
    <n v="24.795000000000002"/>
    <x v="2"/>
    <n v="1"/>
    <x v="1"/>
    <x v="2"/>
    <n v="10942.13205"/>
  </r>
  <r>
    <x v="17"/>
    <x v="1"/>
    <n v="29.83"/>
    <x v="0"/>
    <n v="3"/>
    <x v="0"/>
    <x v="3"/>
    <n v="30184.936699999998"/>
  </r>
  <r>
    <x v="22"/>
    <x v="1"/>
    <n v="34.770000000000003"/>
    <x v="1"/>
    <n v="2"/>
    <x v="1"/>
    <x v="2"/>
    <n v="5729.0052999999998"/>
  </r>
  <r>
    <x v="33"/>
    <x v="0"/>
    <n v="31.3"/>
    <x v="1"/>
    <n v="2"/>
    <x v="0"/>
    <x v="0"/>
    <n v="47291.055"/>
  </r>
  <r>
    <x v="2"/>
    <x v="0"/>
    <n v="37.619999999999997"/>
    <x v="1"/>
    <n v="1"/>
    <x v="1"/>
    <x v="1"/>
    <n v="3766.8838000000001"/>
  </r>
  <r>
    <x v="40"/>
    <x v="0"/>
    <n v="30.8"/>
    <x v="1"/>
    <n v="3"/>
    <x v="1"/>
    <x v="0"/>
    <n v="12105.32"/>
  </r>
  <r>
    <x v="19"/>
    <x v="1"/>
    <n v="38.28"/>
    <x v="1"/>
    <n v="0"/>
    <x v="1"/>
    <x v="1"/>
    <n v="10226.2842"/>
  </r>
  <r>
    <x v="12"/>
    <x v="1"/>
    <n v="19.95"/>
    <x v="2"/>
    <n v="0"/>
    <x v="0"/>
    <x v="3"/>
    <n v="22412.648499999999"/>
  </r>
  <r>
    <x v="25"/>
    <x v="1"/>
    <n v="19.3"/>
    <x v="2"/>
    <n v="0"/>
    <x v="0"/>
    <x v="0"/>
    <n v="15820.699000000001"/>
  </r>
  <r>
    <x v="24"/>
    <x v="0"/>
    <n v="31.6"/>
    <x v="1"/>
    <n v="0"/>
    <x v="1"/>
    <x v="0"/>
    <n v="6186.1270000000004"/>
  </r>
  <r>
    <x v="15"/>
    <x v="1"/>
    <n v="25.46"/>
    <x v="0"/>
    <n v="0"/>
    <x v="1"/>
    <x v="3"/>
    <n v="3645.0893999999998"/>
  </r>
  <r>
    <x v="1"/>
    <x v="0"/>
    <n v="30.114999999999998"/>
    <x v="1"/>
    <n v="0"/>
    <x v="1"/>
    <x v="3"/>
    <n v="21344.846699999998"/>
  </r>
  <r>
    <x v="35"/>
    <x v="0"/>
    <n v="29.92"/>
    <x v="0"/>
    <n v="3"/>
    <x v="0"/>
    <x v="1"/>
    <n v="30942.191800000001"/>
  </r>
  <r>
    <x v="16"/>
    <x v="0"/>
    <n v="27.5"/>
    <x v="0"/>
    <n v="1"/>
    <x v="1"/>
    <x v="0"/>
    <n v="5003.8530000000001"/>
  </r>
  <r>
    <x v="34"/>
    <x v="1"/>
    <n v="28.024999999999999"/>
    <x v="0"/>
    <n v="1"/>
    <x v="0"/>
    <x v="2"/>
    <n v="17560.37975"/>
  </r>
  <r>
    <x v="0"/>
    <x v="0"/>
    <n v="28.4"/>
    <x v="0"/>
    <n v="1"/>
    <x v="1"/>
    <x v="0"/>
    <n v="2331.5189999999998"/>
  </r>
  <r>
    <x v="21"/>
    <x v="1"/>
    <n v="30.875"/>
    <x v="1"/>
    <n v="2"/>
    <x v="1"/>
    <x v="2"/>
    <n v="3877.3042500000001"/>
  </r>
  <r>
    <x v="38"/>
    <x v="1"/>
    <n v="27.94"/>
    <x v="0"/>
    <n v="0"/>
    <x v="1"/>
    <x v="1"/>
    <n v="2867.1196"/>
  </r>
  <r>
    <x v="18"/>
    <x v="1"/>
    <n v="35.090000000000003"/>
    <x v="1"/>
    <n v="0"/>
    <x v="0"/>
    <x v="1"/>
    <n v="47055.532099999997"/>
  </r>
  <r>
    <x v="40"/>
    <x v="1"/>
    <n v="33.630000000000003"/>
    <x v="1"/>
    <n v="1"/>
    <x v="1"/>
    <x v="2"/>
    <n v="10825.253699999999"/>
  </r>
  <r>
    <x v="19"/>
    <x v="0"/>
    <n v="29.7"/>
    <x v="0"/>
    <n v="2"/>
    <x v="1"/>
    <x v="0"/>
    <n v="11881.358"/>
  </r>
  <r>
    <x v="7"/>
    <x v="1"/>
    <n v="30.8"/>
    <x v="1"/>
    <n v="0"/>
    <x v="1"/>
    <x v="0"/>
    <n v="4646.759"/>
  </r>
  <r>
    <x v="27"/>
    <x v="0"/>
    <n v="35.72"/>
    <x v="1"/>
    <n v="0"/>
    <x v="1"/>
    <x v="2"/>
    <n v="2404.7338"/>
  </r>
  <r>
    <x v="14"/>
    <x v="1"/>
    <n v="32.204999999999998"/>
    <x v="1"/>
    <n v="3"/>
    <x v="1"/>
    <x v="3"/>
    <n v="11488.31695"/>
  </r>
  <r>
    <x v="8"/>
    <x v="1"/>
    <n v="28.594999999999999"/>
    <x v="0"/>
    <n v="0"/>
    <x v="1"/>
    <x v="3"/>
    <n v="30259.995559999999"/>
  </r>
  <r>
    <x v="30"/>
    <x v="1"/>
    <n v="49.06"/>
    <x v="1"/>
    <n v="0"/>
    <x v="1"/>
    <x v="1"/>
    <n v="11381.3254"/>
  </r>
  <r>
    <x v="38"/>
    <x v="0"/>
    <n v="27.94"/>
    <x v="0"/>
    <n v="1"/>
    <x v="0"/>
    <x v="1"/>
    <n v="19107.779600000002"/>
  </r>
  <r>
    <x v="41"/>
    <x v="0"/>
    <n v="27.17"/>
    <x v="0"/>
    <n v="0"/>
    <x v="1"/>
    <x v="1"/>
    <n v="8601.3292999999994"/>
  </r>
  <r>
    <x v="7"/>
    <x v="0"/>
    <n v="23.37"/>
    <x v="2"/>
    <n v="2"/>
    <x v="1"/>
    <x v="2"/>
    <n v="6686.4313000000002"/>
  </r>
  <r>
    <x v="36"/>
    <x v="1"/>
    <n v="37.1"/>
    <x v="1"/>
    <n v="2"/>
    <x v="1"/>
    <x v="0"/>
    <n v="7740.3370000000004"/>
  </r>
  <r>
    <x v="1"/>
    <x v="1"/>
    <n v="23.75"/>
    <x v="2"/>
    <n v="0"/>
    <x v="1"/>
    <x v="3"/>
    <n v="1705.6244999999999"/>
  </r>
  <r>
    <x v="34"/>
    <x v="0"/>
    <n v="28.975000000000001"/>
    <x v="0"/>
    <n v="0"/>
    <x v="1"/>
    <x v="2"/>
    <n v="2257.47525"/>
  </r>
  <r>
    <x v="36"/>
    <x v="1"/>
    <n v="31.35"/>
    <x v="1"/>
    <n v="1"/>
    <x v="0"/>
    <x v="3"/>
    <n v="39556.494500000001"/>
  </r>
  <r>
    <x v="42"/>
    <x v="0"/>
    <n v="33.914999999999999"/>
    <x v="1"/>
    <n v="3"/>
    <x v="1"/>
    <x v="2"/>
    <n v="10115.00885"/>
  </r>
  <r>
    <x v="21"/>
    <x v="0"/>
    <n v="28.785"/>
    <x v="0"/>
    <n v="0"/>
    <x v="1"/>
    <x v="3"/>
    <n v="3385.3991500000002"/>
  </r>
  <r>
    <x v="0"/>
    <x v="0"/>
    <n v="28.3"/>
    <x v="0"/>
    <n v="0"/>
    <x v="0"/>
    <x v="0"/>
    <n v="17081.080000000002"/>
  </r>
  <r>
    <x v="14"/>
    <x v="0"/>
    <n v="37.4"/>
    <x v="1"/>
    <n v="0"/>
    <x v="1"/>
    <x v="0"/>
    <n v="9634.5380000000005"/>
  </r>
  <r>
    <x v="4"/>
    <x v="0"/>
    <n v="17.765000000000001"/>
    <x v="3"/>
    <n v="2"/>
    <x v="0"/>
    <x v="2"/>
    <n v="32734.186300000001"/>
  </r>
  <r>
    <x v="25"/>
    <x v="1"/>
    <n v="34.700000000000003"/>
    <x v="1"/>
    <n v="2"/>
    <x v="1"/>
    <x v="0"/>
    <n v="6082.4049999999997"/>
  </r>
  <r>
    <x v="17"/>
    <x v="0"/>
    <n v="26.504999999999999"/>
    <x v="0"/>
    <n v="0"/>
    <x v="1"/>
    <x v="3"/>
    <n v="12815.444949999999"/>
  </r>
  <r>
    <x v="35"/>
    <x v="0"/>
    <n v="22.04"/>
    <x v="2"/>
    <n v="0"/>
    <x v="1"/>
    <x v="3"/>
    <n v="13616.3586"/>
  </r>
  <r>
    <x v="31"/>
    <x v="0"/>
    <n v="35.9"/>
    <x v="1"/>
    <n v="2"/>
    <x v="1"/>
    <x v="0"/>
    <n v="11163.567999999999"/>
  </r>
  <r>
    <x v="0"/>
    <x v="1"/>
    <n v="25.555"/>
    <x v="0"/>
    <n v="0"/>
    <x v="1"/>
    <x v="2"/>
    <n v="1632.5644500000001"/>
  </r>
  <r>
    <x v="34"/>
    <x v="0"/>
    <n v="28.785"/>
    <x v="0"/>
    <n v="0"/>
    <x v="1"/>
    <x v="3"/>
    <n v="2457.2111500000001"/>
  </r>
  <r>
    <x v="20"/>
    <x v="0"/>
    <n v="28.05"/>
    <x v="0"/>
    <n v="0"/>
    <x v="1"/>
    <x v="1"/>
    <n v="2155.6815000000001"/>
  </r>
  <r>
    <x v="0"/>
    <x v="1"/>
    <n v="34.1"/>
    <x v="1"/>
    <n v="0"/>
    <x v="1"/>
    <x v="0"/>
    <n v="1261.442"/>
  </r>
  <r>
    <x v="20"/>
    <x v="1"/>
    <n v="25.175000000000001"/>
    <x v="0"/>
    <n v="0"/>
    <x v="1"/>
    <x v="2"/>
    <n v="2045.68525"/>
  </r>
  <r>
    <x v="40"/>
    <x v="0"/>
    <n v="31.9"/>
    <x v="1"/>
    <n v="3"/>
    <x v="1"/>
    <x v="1"/>
    <n v="27322.73386"/>
  </r>
  <r>
    <x v="20"/>
    <x v="0"/>
    <n v="36"/>
    <x v="1"/>
    <n v="0"/>
    <x v="1"/>
    <x v="0"/>
    <n v="2166.732"/>
  </r>
  <r>
    <x v="16"/>
    <x v="1"/>
    <n v="22.42"/>
    <x v="2"/>
    <n v="2"/>
    <x v="1"/>
    <x v="3"/>
    <n v="27375.904780000001"/>
  </r>
  <r>
    <x v="21"/>
    <x v="1"/>
    <n v="32.49"/>
    <x v="1"/>
    <n v="1"/>
    <x v="1"/>
    <x v="3"/>
    <n v="3490.5491000000002"/>
  </r>
  <r>
    <x v="16"/>
    <x v="1"/>
    <n v="25.3"/>
    <x v="0"/>
    <n v="2"/>
    <x v="0"/>
    <x v="1"/>
    <n v="18972.494999999999"/>
  </r>
  <r>
    <x v="38"/>
    <x v="1"/>
    <n v="29.734999999999999"/>
    <x v="0"/>
    <n v="2"/>
    <x v="1"/>
    <x v="2"/>
    <n v="18157.876"/>
  </r>
  <r>
    <x v="15"/>
    <x v="1"/>
    <n v="28.69"/>
    <x v="0"/>
    <n v="3"/>
    <x v="0"/>
    <x v="2"/>
    <n v="20745.989099999999"/>
  </r>
  <r>
    <x v="38"/>
    <x v="0"/>
    <n v="38.83"/>
    <x v="1"/>
    <n v="3"/>
    <x v="1"/>
    <x v="1"/>
    <n v="5138.2566999999999"/>
  </r>
  <r>
    <x v="6"/>
    <x v="1"/>
    <n v="30.495000000000001"/>
    <x v="1"/>
    <n v="3"/>
    <x v="0"/>
    <x v="2"/>
    <n v="40720.551050000002"/>
  </r>
  <r>
    <x v="43"/>
    <x v="0"/>
    <n v="37.729999999999997"/>
    <x v="1"/>
    <n v="1"/>
    <x v="1"/>
    <x v="1"/>
    <n v="9877.6077000000005"/>
  </r>
  <r>
    <x v="31"/>
    <x v="0"/>
    <n v="37.43"/>
    <x v="1"/>
    <n v="1"/>
    <x v="1"/>
    <x v="2"/>
    <n v="10959.6947"/>
  </r>
  <r>
    <x v="0"/>
    <x v="1"/>
    <n v="28.4"/>
    <x v="0"/>
    <n v="1"/>
    <x v="1"/>
    <x v="0"/>
    <n v="1842.519"/>
  </r>
  <r>
    <x v="22"/>
    <x v="1"/>
    <n v="24.13"/>
    <x v="2"/>
    <n v="1"/>
    <x v="1"/>
    <x v="2"/>
    <n v="5125.2156999999997"/>
  </r>
  <r>
    <x v="28"/>
    <x v="1"/>
    <n v="29.7"/>
    <x v="0"/>
    <n v="0"/>
    <x v="1"/>
    <x v="1"/>
    <n v="7789.6350000000002"/>
  </r>
  <r>
    <x v="4"/>
    <x v="0"/>
    <n v="37.145000000000003"/>
    <x v="1"/>
    <n v="3"/>
    <x v="1"/>
    <x v="3"/>
    <n v="6334.3435499999996"/>
  </r>
  <r>
    <x v="44"/>
    <x v="0"/>
    <n v="23.37"/>
    <x v="2"/>
    <n v="0"/>
    <x v="0"/>
    <x v="3"/>
    <n v="19964.746299999999"/>
  </r>
  <r>
    <x v="29"/>
    <x v="0"/>
    <n v="25.46"/>
    <x v="0"/>
    <n v="1"/>
    <x v="1"/>
    <x v="3"/>
    <n v="7077.1894000000002"/>
  </r>
  <r>
    <x v="36"/>
    <x v="1"/>
    <n v="39.520000000000003"/>
    <x v="1"/>
    <n v="0"/>
    <x v="1"/>
    <x v="2"/>
    <n v="6948.7007999999996"/>
  </r>
  <r>
    <x v="28"/>
    <x v="1"/>
    <n v="24.42"/>
    <x v="2"/>
    <n v="0"/>
    <x v="0"/>
    <x v="1"/>
    <n v="21223.675800000001"/>
  </r>
  <r>
    <x v="1"/>
    <x v="1"/>
    <n v="25.175000000000001"/>
    <x v="0"/>
    <n v="0"/>
    <x v="0"/>
    <x v="3"/>
    <n v="15518.180249999999"/>
  </r>
  <r>
    <x v="15"/>
    <x v="1"/>
    <n v="35.53"/>
    <x v="1"/>
    <n v="0"/>
    <x v="0"/>
    <x v="1"/>
    <n v="36950.256699999998"/>
  </r>
  <r>
    <x v="45"/>
    <x v="0"/>
    <n v="27.83"/>
    <x v="0"/>
    <n v="3"/>
    <x v="1"/>
    <x v="1"/>
    <n v="19749.383379999999"/>
  </r>
  <r>
    <x v="44"/>
    <x v="0"/>
    <n v="26.6"/>
    <x v="0"/>
    <n v="0"/>
    <x v="0"/>
    <x v="2"/>
    <n v="21348.705999999998"/>
  </r>
  <r>
    <x v="1"/>
    <x v="0"/>
    <n v="36.85"/>
    <x v="1"/>
    <n v="0"/>
    <x v="0"/>
    <x v="1"/>
    <n v="36149.483500000002"/>
  </r>
  <r>
    <x v="40"/>
    <x v="1"/>
    <n v="39.6"/>
    <x v="1"/>
    <n v="1"/>
    <x v="1"/>
    <x v="0"/>
    <n v="10450.552"/>
  </r>
  <r>
    <x v="4"/>
    <x v="0"/>
    <n v="29.8"/>
    <x v="0"/>
    <n v="2"/>
    <x v="1"/>
    <x v="0"/>
    <n v="5152.134"/>
  </r>
  <r>
    <x v="7"/>
    <x v="1"/>
    <n v="29.64"/>
    <x v="0"/>
    <n v="0"/>
    <x v="1"/>
    <x v="2"/>
    <n v="5028.1466"/>
  </r>
  <r>
    <x v="42"/>
    <x v="1"/>
    <n v="28.215"/>
    <x v="0"/>
    <n v="4"/>
    <x v="1"/>
    <x v="3"/>
    <n v="10407.085849999999"/>
  </r>
  <r>
    <x v="34"/>
    <x v="0"/>
    <n v="37"/>
    <x v="1"/>
    <n v="5"/>
    <x v="1"/>
    <x v="0"/>
    <n v="4830.63"/>
  </r>
  <r>
    <x v="4"/>
    <x v="0"/>
    <n v="33.155000000000001"/>
    <x v="1"/>
    <n v="3"/>
    <x v="1"/>
    <x v="2"/>
    <n v="6128.79745"/>
  </r>
  <r>
    <x v="0"/>
    <x v="0"/>
    <n v="31.824999999999999"/>
    <x v="1"/>
    <n v="1"/>
    <x v="1"/>
    <x v="2"/>
    <n v="2719.2797500000001"/>
  </r>
  <r>
    <x v="13"/>
    <x v="1"/>
    <n v="18.905000000000001"/>
    <x v="2"/>
    <n v="3"/>
    <x v="1"/>
    <x v="3"/>
    <n v="4827.9049500000001"/>
  </r>
  <r>
    <x v="18"/>
    <x v="1"/>
    <n v="41.47"/>
    <x v="1"/>
    <n v="0"/>
    <x v="1"/>
    <x v="1"/>
    <n v="13405.390299999999"/>
  </r>
  <r>
    <x v="41"/>
    <x v="1"/>
    <n v="30.3"/>
    <x v="1"/>
    <n v="0"/>
    <x v="1"/>
    <x v="0"/>
    <n v="8116.68"/>
  </r>
  <r>
    <x v="1"/>
    <x v="1"/>
    <n v="15.96"/>
    <x v="3"/>
    <n v="0"/>
    <x v="1"/>
    <x v="3"/>
    <n v="1694.7963999999999"/>
  </r>
  <r>
    <x v="22"/>
    <x v="0"/>
    <n v="34.799999999999997"/>
    <x v="1"/>
    <n v="1"/>
    <x v="1"/>
    <x v="0"/>
    <n v="5246.0469999999996"/>
  </r>
  <r>
    <x v="23"/>
    <x v="0"/>
    <n v="33.344999999999999"/>
    <x v="1"/>
    <n v="0"/>
    <x v="1"/>
    <x v="2"/>
    <n v="2855.4375500000001"/>
  </r>
  <r>
    <x v="18"/>
    <x v="0"/>
    <n v="37.700000000000003"/>
    <x v="1"/>
    <n v="0"/>
    <x v="0"/>
    <x v="0"/>
    <n v="48824.45"/>
  </r>
  <r>
    <x v="25"/>
    <x v="1"/>
    <n v="27.835000000000001"/>
    <x v="0"/>
    <n v="2"/>
    <x v="1"/>
    <x v="2"/>
    <n v="6455.86265"/>
  </r>
  <r>
    <x v="40"/>
    <x v="1"/>
    <n v="29.2"/>
    <x v="0"/>
    <n v="1"/>
    <x v="1"/>
    <x v="0"/>
    <n v="10436.096"/>
  </r>
  <r>
    <x v="6"/>
    <x v="0"/>
    <n v="28.9"/>
    <x v="0"/>
    <n v="2"/>
    <x v="1"/>
    <x v="0"/>
    <n v="8823.2790000000005"/>
  </r>
  <r>
    <x v="24"/>
    <x v="0"/>
    <n v="33.155000000000001"/>
    <x v="1"/>
    <n v="3"/>
    <x v="1"/>
    <x v="3"/>
    <n v="8538.28845"/>
  </r>
  <r>
    <x v="30"/>
    <x v="1"/>
    <n v="28.594999999999999"/>
    <x v="0"/>
    <n v="0"/>
    <x v="1"/>
    <x v="2"/>
    <n v="11735.87905"/>
  </r>
  <r>
    <x v="1"/>
    <x v="0"/>
    <n v="38.28"/>
    <x v="1"/>
    <n v="0"/>
    <x v="1"/>
    <x v="1"/>
    <n v="1631.8212000000001"/>
  </r>
  <r>
    <x v="20"/>
    <x v="1"/>
    <n v="19.95"/>
    <x v="2"/>
    <n v="3"/>
    <x v="1"/>
    <x v="3"/>
    <n v="4005.4225000000001"/>
  </r>
  <r>
    <x v="36"/>
    <x v="0"/>
    <n v="26.41"/>
    <x v="0"/>
    <n v="0"/>
    <x v="1"/>
    <x v="2"/>
    <n v="7419.4778999999999"/>
  </r>
  <r>
    <x v="36"/>
    <x v="1"/>
    <n v="30.69"/>
    <x v="1"/>
    <n v="2"/>
    <x v="1"/>
    <x v="1"/>
    <n v="7731.4270999999999"/>
  </r>
  <r>
    <x v="26"/>
    <x v="1"/>
    <n v="41.895000000000003"/>
    <x v="1"/>
    <n v="3"/>
    <x v="0"/>
    <x v="3"/>
    <n v="43753.337050000002"/>
  </r>
  <r>
    <x v="21"/>
    <x v="0"/>
    <n v="29.92"/>
    <x v="0"/>
    <n v="2"/>
    <x v="1"/>
    <x v="1"/>
    <n v="3981.9767999999999"/>
  </r>
  <r>
    <x v="15"/>
    <x v="0"/>
    <n v="30.9"/>
    <x v="1"/>
    <n v="3"/>
    <x v="1"/>
    <x v="0"/>
    <n v="5325.6509999999998"/>
  </r>
  <r>
    <x v="24"/>
    <x v="0"/>
    <n v="32.200000000000003"/>
    <x v="1"/>
    <n v="1"/>
    <x v="1"/>
    <x v="0"/>
    <n v="6775.9610000000002"/>
  </r>
  <r>
    <x v="38"/>
    <x v="0"/>
    <n v="32.11"/>
    <x v="1"/>
    <n v="2"/>
    <x v="1"/>
    <x v="2"/>
    <n v="4922.9159"/>
  </r>
  <r>
    <x v="35"/>
    <x v="1"/>
    <n v="31.57"/>
    <x v="1"/>
    <n v="0"/>
    <x v="1"/>
    <x v="1"/>
    <n v="12557.605299999999"/>
  </r>
  <r>
    <x v="26"/>
    <x v="0"/>
    <n v="26.2"/>
    <x v="0"/>
    <n v="0"/>
    <x v="1"/>
    <x v="0"/>
    <n v="4883.866"/>
  </r>
  <r>
    <x v="9"/>
    <x v="1"/>
    <n v="25.74"/>
    <x v="0"/>
    <n v="0"/>
    <x v="1"/>
    <x v="1"/>
    <n v="2137.6536000000001"/>
  </r>
  <r>
    <x v="12"/>
    <x v="0"/>
    <n v="26.6"/>
    <x v="0"/>
    <n v="1"/>
    <x v="1"/>
    <x v="2"/>
    <n v="12044.342000000001"/>
  </r>
  <r>
    <x v="1"/>
    <x v="1"/>
    <n v="34.43"/>
    <x v="1"/>
    <n v="0"/>
    <x v="1"/>
    <x v="1"/>
    <n v="1137.4697000000001"/>
  </r>
  <r>
    <x v="0"/>
    <x v="1"/>
    <n v="30.59"/>
    <x v="1"/>
    <n v="0"/>
    <x v="1"/>
    <x v="2"/>
    <n v="1639.5631000000001"/>
  </r>
  <r>
    <x v="46"/>
    <x v="0"/>
    <n v="32.799999999999997"/>
    <x v="1"/>
    <n v="0"/>
    <x v="1"/>
    <x v="0"/>
    <n v="5649.7150000000001"/>
  </r>
  <r>
    <x v="39"/>
    <x v="0"/>
    <n v="28.6"/>
    <x v="0"/>
    <n v="2"/>
    <x v="1"/>
    <x v="1"/>
    <n v="8516.8289999999997"/>
  </r>
  <r>
    <x v="43"/>
    <x v="0"/>
    <n v="18.05"/>
    <x v="3"/>
    <n v="0"/>
    <x v="1"/>
    <x v="2"/>
    <n v="9644.2525000000005"/>
  </r>
  <r>
    <x v="33"/>
    <x v="0"/>
    <n v="39.33"/>
    <x v="1"/>
    <n v="0"/>
    <x v="1"/>
    <x v="3"/>
    <n v="14901.5167"/>
  </r>
  <r>
    <x v="0"/>
    <x v="0"/>
    <n v="32.11"/>
    <x v="1"/>
    <n v="0"/>
    <x v="1"/>
    <x v="2"/>
    <n v="2130.6759000000002"/>
  </r>
  <r>
    <x v="28"/>
    <x v="0"/>
    <n v="32.229999999999997"/>
    <x v="1"/>
    <n v="1"/>
    <x v="1"/>
    <x v="1"/>
    <n v="8871.1517000000003"/>
  </r>
  <r>
    <x v="8"/>
    <x v="0"/>
    <n v="24.035"/>
    <x v="2"/>
    <n v="0"/>
    <x v="1"/>
    <x v="2"/>
    <n v="13012.20865"/>
  </r>
  <r>
    <x v="13"/>
    <x v="0"/>
    <n v="36.08"/>
    <x v="1"/>
    <n v="0"/>
    <x v="0"/>
    <x v="1"/>
    <n v="37133.898200000003"/>
  </r>
  <r>
    <x v="6"/>
    <x v="1"/>
    <n v="22.3"/>
    <x v="2"/>
    <n v="0"/>
    <x v="1"/>
    <x v="0"/>
    <n v="7147.1049999999996"/>
  </r>
  <r>
    <x v="2"/>
    <x v="0"/>
    <n v="28.88"/>
    <x v="0"/>
    <n v="1"/>
    <x v="1"/>
    <x v="3"/>
    <n v="4337.7352000000001"/>
  </r>
  <r>
    <x v="17"/>
    <x v="1"/>
    <n v="26.4"/>
    <x v="0"/>
    <n v="0"/>
    <x v="1"/>
    <x v="1"/>
    <n v="11743.299000000001"/>
  </r>
  <r>
    <x v="22"/>
    <x v="1"/>
    <n v="27.74"/>
    <x v="0"/>
    <n v="2"/>
    <x v="0"/>
    <x v="3"/>
    <n v="20984.0936"/>
  </r>
  <r>
    <x v="18"/>
    <x v="0"/>
    <n v="31.8"/>
    <x v="1"/>
    <n v="0"/>
    <x v="1"/>
    <x v="0"/>
    <n v="13880.949000000001"/>
  </r>
  <r>
    <x v="29"/>
    <x v="1"/>
    <n v="41.23"/>
    <x v="1"/>
    <n v="1"/>
    <x v="1"/>
    <x v="3"/>
    <n v="6610.1097"/>
  </r>
  <r>
    <x v="34"/>
    <x v="1"/>
    <n v="33"/>
    <x v="1"/>
    <n v="1"/>
    <x v="1"/>
    <x v="0"/>
    <n v="1980.07"/>
  </r>
  <r>
    <x v="29"/>
    <x v="1"/>
    <n v="30.875"/>
    <x v="1"/>
    <n v="4"/>
    <x v="1"/>
    <x v="2"/>
    <n v="8162.7162500000004"/>
  </r>
  <r>
    <x v="23"/>
    <x v="1"/>
    <n v="28.5"/>
    <x v="0"/>
    <n v="2"/>
    <x v="1"/>
    <x v="2"/>
    <n v="3537.703"/>
  </r>
  <r>
    <x v="16"/>
    <x v="0"/>
    <n v="26.73"/>
    <x v="0"/>
    <n v="1"/>
    <x v="1"/>
    <x v="1"/>
    <n v="5002.7826999999997"/>
  </r>
  <r>
    <x v="39"/>
    <x v="0"/>
    <n v="30.9"/>
    <x v="1"/>
    <n v="2"/>
    <x v="1"/>
    <x v="0"/>
    <n v="8520.0259999999998"/>
  </r>
  <r>
    <x v="24"/>
    <x v="0"/>
    <n v="37.1"/>
    <x v="1"/>
    <n v="2"/>
    <x v="1"/>
    <x v="0"/>
    <n v="7371.7719999999999"/>
  </r>
  <r>
    <x v="31"/>
    <x v="0"/>
    <n v="26.6"/>
    <x v="0"/>
    <n v="0"/>
    <x v="1"/>
    <x v="2"/>
    <n v="10355.641"/>
  </r>
  <r>
    <x v="13"/>
    <x v="1"/>
    <n v="23.1"/>
    <x v="2"/>
    <n v="0"/>
    <x v="1"/>
    <x v="1"/>
    <n v="2483.7359999999999"/>
  </r>
  <r>
    <x v="21"/>
    <x v="0"/>
    <n v="29.92"/>
    <x v="0"/>
    <n v="1"/>
    <x v="1"/>
    <x v="1"/>
    <n v="3392.9767999999999"/>
  </r>
  <r>
    <x v="23"/>
    <x v="0"/>
    <n v="23.21"/>
    <x v="2"/>
    <n v="0"/>
    <x v="1"/>
    <x v="1"/>
    <n v="25081.76784"/>
  </r>
  <r>
    <x v="16"/>
    <x v="0"/>
    <n v="33.700000000000003"/>
    <x v="1"/>
    <n v="1"/>
    <x v="1"/>
    <x v="0"/>
    <n v="5012.4709999999995"/>
  </r>
  <r>
    <x v="31"/>
    <x v="0"/>
    <n v="33.25"/>
    <x v="1"/>
    <n v="0"/>
    <x v="1"/>
    <x v="3"/>
    <n v="10564.8845"/>
  </r>
  <r>
    <x v="4"/>
    <x v="1"/>
    <n v="30.8"/>
    <x v="1"/>
    <n v="3"/>
    <x v="1"/>
    <x v="0"/>
    <n v="5253.5240000000003"/>
  </r>
  <r>
    <x v="0"/>
    <x v="1"/>
    <n v="34.799999999999997"/>
    <x v="1"/>
    <n v="0"/>
    <x v="0"/>
    <x v="0"/>
    <n v="34779.614999999998"/>
  </r>
  <r>
    <x v="44"/>
    <x v="1"/>
    <n v="24.64"/>
    <x v="2"/>
    <n v="0"/>
    <x v="0"/>
    <x v="1"/>
    <n v="19515.5416"/>
  </r>
  <r>
    <x v="19"/>
    <x v="1"/>
    <n v="33.880000000000003"/>
    <x v="1"/>
    <n v="3"/>
    <x v="1"/>
    <x v="1"/>
    <n v="11987.1682"/>
  </r>
  <r>
    <x v="2"/>
    <x v="1"/>
    <n v="38.06"/>
    <x v="1"/>
    <n v="0"/>
    <x v="1"/>
    <x v="1"/>
    <n v="2689.4953999999998"/>
  </r>
  <r>
    <x v="30"/>
    <x v="0"/>
    <n v="41.91"/>
    <x v="1"/>
    <n v="0"/>
    <x v="1"/>
    <x v="1"/>
    <n v="24227.337240000001"/>
  </r>
  <r>
    <x v="24"/>
    <x v="0"/>
    <n v="31.635000000000002"/>
    <x v="1"/>
    <n v="1"/>
    <x v="1"/>
    <x v="3"/>
    <n v="7358.1756500000001"/>
  </r>
  <r>
    <x v="42"/>
    <x v="1"/>
    <n v="25.46"/>
    <x v="0"/>
    <n v="2"/>
    <x v="1"/>
    <x v="3"/>
    <n v="9225.2564000000002"/>
  </r>
  <r>
    <x v="44"/>
    <x v="0"/>
    <n v="36.195"/>
    <x v="1"/>
    <n v="1"/>
    <x v="1"/>
    <x v="2"/>
    <n v="7443.6430499999997"/>
  </r>
  <r>
    <x v="17"/>
    <x v="0"/>
    <n v="27.83"/>
    <x v="0"/>
    <n v="3"/>
    <x v="1"/>
    <x v="1"/>
    <n v="14001.286700000001"/>
  </r>
  <r>
    <x v="0"/>
    <x v="0"/>
    <n v="17.8"/>
    <x v="3"/>
    <n v="0"/>
    <x v="1"/>
    <x v="0"/>
    <n v="1727.7850000000001"/>
  </r>
  <r>
    <x v="17"/>
    <x v="1"/>
    <n v="27.5"/>
    <x v="0"/>
    <n v="1"/>
    <x v="1"/>
    <x v="0"/>
    <n v="12333.828"/>
  </r>
  <r>
    <x v="46"/>
    <x v="1"/>
    <n v="24.51"/>
    <x v="2"/>
    <n v="2"/>
    <x v="1"/>
    <x v="2"/>
    <n v="6710.1918999999998"/>
  </r>
  <r>
    <x v="29"/>
    <x v="0"/>
    <n v="22.22"/>
    <x v="2"/>
    <n v="2"/>
    <x v="0"/>
    <x v="1"/>
    <n v="19444.265800000001"/>
  </r>
  <r>
    <x v="1"/>
    <x v="0"/>
    <n v="26.73"/>
    <x v="0"/>
    <n v="0"/>
    <x v="1"/>
    <x v="1"/>
    <n v="1615.7666999999999"/>
  </r>
  <r>
    <x v="5"/>
    <x v="1"/>
    <n v="38.39"/>
    <x v="1"/>
    <n v="2"/>
    <x v="1"/>
    <x v="1"/>
    <n v="4463.2051000000001"/>
  </r>
  <r>
    <x v="0"/>
    <x v="1"/>
    <n v="29.07"/>
    <x v="0"/>
    <n v="0"/>
    <x v="0"/>
    <x v="2"/>
    <n v="17352.6803"/>
  </r>
  <r>
    <x v="36"/>
    <x v="1"/>
    <n v="38.06"/>
    <x v="1"/>
    <n v="1"/>
    <x v="1"/>
    <x v="1"/>
    <n v="7152.6714000000002"/>
  </r>
  <r>
    <x v="11"/>
    <x v="0"/>
    <n v="36.67"/>
    <x v="1"/>
    <n v="2"/>
    <x v="0"/>
    <x v="3"/>
    <n v="38511.628299999997"/>
  </r>
  <r>
    <x v="3"/>
    <x v="0"/>
    <n v="22.135000000000002"/>
    <x v="2"/>
    <n v="1"/>
    <x v="1"/>
    <x v="3"/>
    <n v="5354.0746499999996"/>
  </r>
  <r>
    <x v="19"/>
    <x v="0"/>
    <n v="26.8"/>
    <x v="0"/>
    <n v="1"/>
    <x v="1"/>
    <x v="0"/>
    <n v="35160.134570000002"/>
  </r>
  <r>
    <x v="29"/>
    <x v="1"/>
    <n v="35.299999999999997"/>
    <x v="1"/>
    <n v="3"/>
    <x v="1"/>
    <x v="0"/>
    <n v="7196.8670000000002"/>
  </r>
  <r>
    <x v="18"/>
    <x v="0"/>
    <n v="27.74"/>
    <x v="0"/>
    <n v="0"/>
    <x v="0"/>
    <x v="3"/>
    <n v="29523.1656"/>
  </r>
  <r>
    <x v="40"/>
    <x v="1"/>
    <n v="30.02"/>
    <x v="1"/>
    <n v="0"/>
    <x v="1"/>
    <x v="2"/>
    <n v="24476.478510000001"/>
  </r>
  <r>
    <x v="8"/>
    <x v="0"/>
    <n v="38.06"/>
    <x v="1"/>
    <n v="0"/>
    <x v="1"/>
    <x v="1"/>
    <n v="12648.7034"/>
  </r>
  <r>
    <x v="23"/>
    <x v="1"/>
    <n v="35.86"/>
    <x v="1"/>
    <n v="0"/>
    <x v="1"/>
    <x v="1"/>
    <n v="1986.9333999999999"/>
  </r>
  <r>
    <x v="0"/>
    <x v="1"/>
    <n v="20.9"/>
    <x v="2"/>
    <n v="1"/>
    <x v="1"/>
    <x v="0"/>
    <n v="1832.0940000000001"/>
  </r>
  <r>
    <x v="38"/>
    <x v="1"/>
    <n v="28.975000000000001"/>
    <x v="0"/>
    <n v="1"/>
    <x v="1"/>
    <x v="3"/>
    <n v="4040.55825"/>
  </r>
  <r>
    <x v="1"/>
    <x v="1"/>
    <n v="17.29"/>
    <x v="3"/>
    <n v="2"/>
    <x v="0"/>
    <x v="3"/>
    <n v="12829.455099999999"/>
  </r>
  <r>
    <x v="18"/>
    <x v="0"/>
    <n v="32.200000000000003"/>
    <x v="1"/>
    <n v="2"/>
    <x v="0"/>
    <x v="0"/>
    <n v="47305.305"/>
  </r>
  <r>
    <x v="40"/>
    <x v="1"/>
    <n v="34.21"/>
    <x v="1"/>
    <n v="2"/>
    <x v="0"/>
    <x v="1"/>
    <n v="44260.749900000003"/>
  </r>
  <r>
    <x v="13"/>
    <x v="1"/>
    <n v="30.3"/>
    <x v="1"/>
    <n v="3"/>
    <x v="1"/>
    <x v="0"/>
    <n v="4260.7439999999997"/>
  </r>
  <r>
    <x v="45"/>
    <x v="1"/>
    <n v="31.824999999999999"/>
    <x v="1"/>
    <n v="0"/>
    <x v="0"/>
    <x v="3"/>
    <n v="41097.161749999999"/>
  </r>
  <r>
    <x v="19"/>
    <x v="0"/>
    <n v="25.364999999999998"/>
    <x v="0"/>
    <n v="3"/>
    <x v="1"/>
    <x v="3"/>
    <n v="13047.332350000001"/>
  </r>
  <r>
    <x v="12"/>
    <x v="1"/>
    <n v="33.630000000000003"/>
    <x v="1"/>
    <n v="0"/>
    <x v="0"/>
    <x v="2"/>
    <n v="43921.183700000001"/>
  </r>
  <r>
    <x v="25"/>
    <x v="0"/>
    <n v="40.15"/>
    <x v="1"/>
    <n v="0"/>
    <x v="1"/>
    <x v="1"/>
    <n v="5400.9804999999997"/>
  </r>
  <r>
    <x v="43"/>
    <x v="1"/>
    <n v="24.414999999999999"/>
    <x v="2"/>
    <n v="4"/>
    <x v="1"/>
    <x v="2"/>
    <n v="11520.099850000001"/>
  </r>
  <r>
    <x v="0"/>
    <x v="1"/>
    <n v="31.92"/>
    <x v="1"/>
    <n v="0"/>
    <x v="0"/>
    <x v="2"/>
    <n v="33750.291799999999"/>
  </r>
  <r>
    <x v="30"/>
    <x v="0"/>
    <n v="25.2"/>
    <x v="0"/>
    <n v="0"/>
    <x v="1"/>
    <x v="0"/>
    <n v="11837.16"/>
  </r>
  <r>
    <x v="34"/>
    <x v="0"/>
    <n v="26.84"/>
    <x v="0"/>
    <n v="1"/>
    <x v="0"/>
    <x v="1"/>
    <n v="17085.267599999999"/>
  </r>
  <r>
    <x v="14"/>
    <x v="1"/>
    <n v="24.32"/>
    <x v="2"/>
    <n v="3"/>
    <x v="0"/>
    <x v="3"/>
    <n v="24869.836800000001"/>
  </r>
  <r>
    <x v="0"/>
    <x v="1"/>
    <n v="36.954999999999998"/>
    <x v="1"/>
    <n v="0"/>
    <x v="0"/>
    <x v="2"/>
    <n v="36219.405449999998"/>
  </r>
  <r>
    <x v="31"/>
    <x v="0"/>
    <n v="38.06"/>
    <x v="1"/>
    <n v="3"/>
    <x v="1"/>
    <x v="1"/>
    <n v="20462.997660000001"/>
  </r>
  <r>
    <x v="6"/>
    <x v="1"/>
    <n v="42.35"/>
    <x v="1"/>
    <n v="3"/>
    <x v="0"/>
    <x v="1"/>
    <n v="46151.124499999998"/>
  </r>
  <r>
    <x v="29"/>
    <x v="1"/>
    <n v="19.8"/>
    <x v="2"/>
    <n v="1"/>
    <x v="0"/>
    <x v="1"/>
    <n v="17179.522000000001"/>
  </r>
  <r>
    <x v="17"/>
    <x v="0"/>
    <n v="32.395000000000003"/>
    <x v="1"/>
    <n v="3"/>
    <x v="1"/>
    <x v="3"/>
    <n v="14590.63205"/>
  </r>
  <r>
    <x v="39"/>
    <x v="1"/>
    <n v="30.2"/>
    <x v="1"/>
    <n v="1"/>
    <x v="1"/>
    <x v="0"/>
    <n v="7441.0529999999999"/>
  </r>
  <r>
    <x v="41"/>
    <x v="1"/>
    <n v="25.84"/>
    <x v="0"/>
    <n v="1"/>
    <x v="1"/>
    <x v="3"/>
    <n v="9282.4806000000008"/>
  </r>
  <r>
    <x v="1"/>
    <x v="1"/>
    <n v="29.37"/>
    <x v="0"/>
    <n v="1"/>
    <x v="1"/>
    <x v="1"/>
    <n v="1719.4363000000001"/>
  </r>
  <r>
    <x v="45"/>
    <x v="1"/>
    <n v="34.200000000000003"/>
    <x v="1"/>
    <n v="2"/>
    <x v="0"/>
    <x v="0"/>
    <n v="42856.838000000003"/>
  </r>
  <r>
    <x v="24"/>
    <x v="1"/>
    <n v="37.049999999999997"/>
    <x v="1"/>
    <n v="2"/>
    <x v="1"/>
    <x v="2"/>
    <n v="7265.7025000000003"/>
  </r>
  <r>
    <x v="45"/>
    <x v="1"/>
    <n v="27.454999999999998"/>
    <x v="0"/>
    <n v="1"/>
    <x v="1"/>
    <x v="3"/>
    <n v="9617.6624499999998"/>
  </r>
  <r>
    <x v="9"/>
    <x v="1"/>
    <n v="27.55"/>
    <x v="0"/>
    <n v="0"/>
    <x v="1"/>
    <x v="2"/>
    <n v="2523.1695"/>
  </r>
  <r>
    <x v="42"/>
    <x v="0"/>
    <n v="26.6"/>
    <x v="0"/>
    <n v="2"/>
    <x v="1"/>
    <x v="3"/>
    <n v="9715.8410000000003"/>
  </r>
  <r>
    <x v="0"/>
    <x v="1"/>
    <n v="20.614999999999998"/>
    <x v="2"/>
    <n v="2"/>
    <x v="1"/>
    <x v="2"/>
    <n v="2803.69785"/>
  </r>
  <r>
    <x v="20"/>
    <x v="0"/>
    <n v="24.3"/>
    <x v="2"/>
    <n v="0"/>
    <x v="1"/>
    <x v="0"/>
    <n v="2150.4690000000001"/>
  </r>
  <r>
    <x v="17"/>
    <x v="1"/>
    <n v="31.79"/>
    <x v="1"/>
    <n v="2"/>
    <x v="1"/>
    <x v="1"/>
    <n v="12928.7911"/>
  </r>
  <r>
    <x v="43"/>
    <x v="0"/>
    <n v="21.56"/>
    <x v="2"/>
    <n v="1"/>
    <x v="1"/>
    <x v="1"/>
    <n v="9855.1314000000002"/>
  </r>
  <r>
    <x v="29"/>
    <x v="0"/>
    <n v="28.12"/>
    <x v="0"/>
    <n v="1"/>
    <x v="0"/>
    <x v="3"/>
    <n v="22331.566800000001"/>
  </r>
  <r>
    <x v="40"/>
    <x v="1"/>
    <n v="40.564999999999998"/>
    <x v="1"/>
    <n v="3"/>
    <x v="0"/>
    <x v="3"/>
    <n v="48549.178350000002"/>
  </r>
  <r>
    <x v="15"/>
    <x v="1"/>
    <n v="27.645"/>
    <x v="0"/>
    <n v="1"/>
    <x v="1"/>
    <x v="3"/>
    <n v="4237.12655"/>
  </r>
  <r>
    <x v="19"/>
    <x v="0"/>
    <n v="32.395000000000003"/>
    <x v="1"/>
    <n v="1"/>
    <x v="1"/>
    <x v="3"/>
    <n v="11879.10405"/>
  </r>
  <r>
    <x v="14"/>
    <x v="0"/>
    <n v="31.2"/>
    <x v="1"/>
    <n v="0"/>
    <x v="1"/>
    <x v="0"/>
    <n v="9625.92"/>
  </r>
  <r>
    <x v="6"/>
    <x v="1"/>
    <n v="26.62"/>
    <x v="0"/>
    <n v="1"/>
    <x v="1"/>
    <x v="1"/>
    <n v="7742.1098000000002"/>
  </r>
  <r>
    <x v="6"/>
    <x v="0"/>
    <n v="48.07"/>
    <x v="1"/>
    <n v="2"/>
    <x v="1"/>
    <x v="3"/>
    <n v="9432.9253000000008"/>
  </r>
  <r>
    <x v="18"/>
    <x v="0"/>
    <n v="26.22"/>
    <x v="0"/>
    <n v="0"/>
    <x v="1"/>
    <x v="2"/>
    <n v="14256.192800000001"/>
  </r>
  <r>
    <x v="17"/>
    <x v="0"/>
    <n v="36.765000000000001"/>
    <x v="1"/>
    <n v="1"/>
    <x v="0"/>
    <x v="3"/>
    <n v="47896.79135"/>
  </r>
  <r>
    <x v="14"/>
    <x v="1"/>
    <n v="26.4"/>
    <x v="0"/>
    <n v="3"/>
    <x v="1"/>
    <x v="1"/>
    <n v="25992.821039999999"/>
  </r>
  <r>
    <x v="2"/>
    <x v="0"/>
    <n v="33.4"/>
    <x v="1"/>
    <n v="0"/>
    <x v="1"/>
    <x v="0"/>
    <n v="3172.018"/>
  </r>
  <r>
    <x v="38"/>
    <x v="1"/>
    <n v="29.64"/>
    <x v="0"/>
    <n v="1"/>
    <x v="1"/>
    <x v="3"/>
    <n v="20277.807509999999"/>
  </r>
  <r>
    <x v="9"/>
    <x v="1"/>
    <n v="45.54"/>
    <x v="1"/>
    <n v="2"/>
    <x v="0"/>
    <x v="1"/>
    <n v="42112.2356"/>
  </r>
  <r>
    <x v="20"/>
    <x v="0"/>
    <n v="28.82"/>
    <x v="0"/>
    <n v="0"/>
    <x v="1"/>
    <x v="1"/>
    <n v="2156.7518"/>
  </r>
  <r>
    <x v="9"/>
    <x v="1"/>
    <n v="26.8"/>
    <x v="0"/>
    <n v="3"/>
    <x v="1"/>
    <x v="0"/>
    <n v="3906.127"/>
  </r>
  <r>
    <x v="1"/>
    <x v="1"/>
    <n v="22.99"/>
    <x v="2"/>
    <n v="0"/>
    <x v="1"/>
    <x v="3"/>
    <n v="1704.5681"/>
  </r>
  <r>
    <x v="0"/>
    <x v="1"/>
    <n v="27.7"/>
    <x v="0"/>
    <n v="0"/>
    <x v="0"/>
    <x v="0"/>
    <n v="16297.846"/>
  </r>
  <r>
    <x v="42"/>
    <x v="1"/>
    <n v="25.41"/>
    <x v="0"/>
    <n v="1"/>
    <x v="0"/>
    <x v="1"/>
    <n v="21978.676899999999"/>
  </r>
  <r>
    <x v="5"/>
    <x v="1"/>
    <n v="34.39"/>
    <x v="1"/>
    <n v="3"/>
    <x v="0"/>
    <x v="2"/>
    <n v="38746.355100000001"/>
  </r>
  <r>
    <x v="28"/>
    <x v="0"/>
    <n v="28.88"/>
    <x v="0"/>
    <n v="1"/>
    <x v="1"/>
    <x v="2"/>
    <n v="9249.4951999999994"/>
  </r>
  <r>
    <x v="26"/>
    <x v="1"/>
    <n v="27.55"/>
    <x v="0"/>
    <n v="3"/>
    <x v="1"/>
    <x v="3"/>
    <n v="6746.7425000000003"/>
  </r>
  <r>
    <x v="31"/>
    <x v="0"/>
    <n v="22.61"/>
    <x v="2"/>
    <n v="3"/>
    <x v="0"/>
    <x v="3"/>
    <n v="24873.384900000001"/>
  </r>
  <r>
    <x v="12"/>
    <x v="0"/>
    <n v="37.51"/>
    <x v="1"/>
    <n v="2"/>
    <x v="1"/>
    <x v="1"/>
    <n v="12265.5069"/>
  </r>
  <r>
    <x v="2"/>
    <x v="0"/>
    <n v="33"/>
    <x v="1"/>
    <n v="2"/>
    <x v="1"/>
    <x v="1"/>
    <n v="4349.4620000000004"/>
  </r>
  <r>
    <x v="37"/>
    <x v="0"/>
    <n v="38"/>
    <x v="1"/>
    <n v="2"/>
    <x v="1"/>
    <x v="0"/>
    <n v="12646.207"/>
  </r>
  <r>
    <x v="38"/>
    <x v="1"/>
    <n v="33.344999999999999"/>
    <x v="1"/>
    <n v="2"/>
    <x v="1"/>
    <x v="2"/>
    <n v="19442.353500000001"/>
  </r>
  <r>
    <x v="2"/>
    <x v="0"/>
    <n v="27.5"/>
    <x v="0"/>
    <n v="2"/>
    <x v="1"/>
    <x v="0"/>
    <n v="20177.671129999999"/>
  </r>
  <r>
    <x v="15"/>
    <x v="0"/>
    <n v="33.33"/>
    <x v="1"/>
    <n v="1"/>
    <x v="1"/>
    <x v="1"/>
    <n v="4151.0286999999998"/>
  </r>
  <r>
    <x v="30"/>
    <x v="1"/>
    <n v="34.865000000000002"/>
    <x v="1"/>
    <n v="0"/>
    <x v="1"/>
    <x v="3"/>
    <n v="11944.594349999999"/>
  </r>
  <r>
    <x v="24"/>
    <x v="0"/>
    <n v="33.06"/>
    <x v="1"/>
    <n v="2"/>
    <x v="1"/>
    <x v="2"/>
    <n v="7749.1563999999998"/>
  </r>
  <r>
    <x v="45"/>
    <x v="1"/>
    <n v="26.6"/>
    <x v="0"/>
    <n v="0"/>
    <x v="1"/>
    <x v="0"/>
    <n v="8444.4740000000002"/>
  </r>
  <r>
    <x v="0"/>
    <x v="0"/>
    <n v="24.7"/>
    <x v="2"/>
    <n v="0"/>
    <x v="1"/>
    <x v="0"/>
    <n v="1737.376"/>
  </r>
  <r>
    <x v="32"/>
    <x v="1"/>
    <n v="35.97"/>
    <x v="1"/>
    <n v="3"/>
    <x v="0"/>
    <x v="1"/>
    <n v="42124.515299999999"/>
  </r>
  <r>
    <x v="41"/>
    <x v="1"/>
    <n v="35.86"/>
    <x v="1"/>
    <n v="0"/>
    <x v="1"/>
    <x v="1"/>
    <n v="8124.4084000000003"/>
  </r>
  <r>
    <x v="13"/>
    <x v="0"/>
    <n v="31.4"/>
    <x v="1"/>
    <n v="0"/>
    <x v="0"/>
    <x v="0"/>
    <n v="34838.873"/>
  </r>
  <r>
    <x v="14"/>
    <x v="1"/>
    <n v="33.25"/>
    <x v="1"/>
    <n v="0"/>
    <x v="1"/>
    <x v="3"/>
    <n v="9722.7695000000003"/>
  </r>
  <r>
    <x v="45"/>
    <x v="1"/>
    <n v="32.204999999999998"/>
    <x v="1"/>
    <n v="0"/>
    <x v="1"/>
    <x v="2"/>
    <n v="8835.2649500000007"/>
  </r>
  <r>
    <x v="40"/>
    <x v="1"/>
    <n v="32.774999999999999"/>
    <x v="1"/>
    <n v="0"/>
    <x v="1"/>
    <x v="3"/>
    <n v="10435.06525"/>
  </r>
  <r>
    <x v="36"/>
    <x v="0"/>
    <n v="27.645"/>
    <x v="0"/>
    <n v="0"/>
    <x v="1"/>
    <x v="2"/>
    <n v="7421.1945500000002"/>
  </r>
  <r>
    <x v="4"/>
    <x v="1"/>
    <n v="37.335000000000001"/>
    <x v="1"/>
    <n v="1"/>
    <x v="1"/>
    <x v="3"/>
    <n v="4667.6076499999999"/>
  </r>
  <r>
    <x v="16"/>
    <x v="1"/>
    <n v="25.27"/>
    <x v="0"/>
    <n v="1"/>
    <x v="1"/>
    <x v="2"/>
    <n v="4894.7533000000003"/>
  </r>
  <r>
    <x v="21"/>
    <x v="0"/>
    <n v="29.64"/>
    <x v="0"/>
    <n v="4"/>
    <x v="1"/>
    <x v="3"/>
    <n v="24671.663339999999"/>
  </r>
  <r>
    <x v="16"/>
    <x v="1"/>
    <n v="30.8"/>
    <x v="1"/>
    <n v="0"/>
    <x v="0"/>
    <x v="0"/>
    <n v="35491.64"/>
  </r>
  <r>
    <x v="37"/>
    <x v="1"/>
    <n v="40.945"/>
    <x v="1"/>
    <n v="0"/>
    <x v="1"/>
    <x v="3"/>
    <n v="11566.30055"/>
  </r>
  <r>
    <x v="38"/>
    <x v="1"/>
    <n v="27.2"/>
    <x v="0"/>
    <n v="0"/>
    <x v="1"/>
    <x v="0"/>
    <n v="2866.0909999999999"/>
  </r>
  <r>
    <x v="29"/>
    <x v="1"/>
    <n v="34.104999999999997"/>
    <x v="1"/>
    <n v="1"/>
    <x v="1"/>
    <x v="3"/>
    <n v="6600.2059499999996"/>
  </r>
  <r>
    <x v="13"/>
    <x v="0"/>
    <n v="23.21"/>
    <x v="2"/>
    <n v="1"/>
    <x v="1"/>
    <x v="1"/>
    <n v="3561.8888999999999"/>
  </r>
  <r>
    <x v="39"/>
    <x v="1"/>
    <n v="36.479999999999997"/>
    <x v="1"/>
    <n v="2"/>
    <x v="0"/>
    <x v="2"/>
    <n v="42760.502200000003"/>
  </r>
  <r>
    <x v="33"/>
    <x v="0"/>
    <n v="33.799999999999997"/>
    <x v="1"/>
    <n v="1"/>
    <x v="0"/>
    <x v="0"/>
    <n v="47928.03"/>
  </r>
  <r>
    <x v="14"/>
    <x v="1"/>
    <n v="36.700000000000003"/>
    <x v="1"/>
    <n v="0"/>
    <x v="1"/>
    <x v="0"/>
    <n v="9144.5650000000005"/>
  </r>
  <r>
    <x v="35"/>
    <x v="0"/>
    <n v="36.384999999999998"/>
    <x v="1"/>
    <n v="1"/>
    <x v="0"/>
    <x v="3"/>
    <n v="48517.563150000002"/>
  </r>
  <r>
    <x v="14"/>
    <x v="1"/>
    <n v="27.36"/>
    <x v="0"/>
    <n v="0"/>
    <x v="0"/>
    <x v="2"/>
    <n v="24393.6224"/>
  </r>
  <r>
    <x v="35"/>
    <x v="0"/>
    <n v="31.16"/>
    <x v="1"/>
    <n v="0"/>
    <x v="1"/>
    <x v="2"/>
    <n v="13429.035400000001"/>
  </r>
  <r>
    <x v="12"/>
    <x v="0"/>
    <n v="28.785"/>
    <x v="0"/>
    <n v="0"/>
    <x v="1"/>
    <x v="3"/>
    <n v="11658.379150000001"/>
  </r>
  <r>
    <x v="32"/>
    <x v="0"/>
    <n v="35.72"/>
    <x v="1"/>
    <n v="2"/>
    <x v="1"/>
    <x v="3"/>
    <n v="19144.576519999999"/>
  </r>
  <r>
    <x v="33"/>
    <x v="1"/>
    <n v="34.5"/>
    <x v="1"/>
    <n v="0"/>
    <x v="1"/>
    <x v="0"/>
    <n v="13822.803"/>
  </r>
  <r>
    <x v="8"/>
    <x v="1"/>
    <n v="25.74"/>
    <x v="0"/>
    <n v="0"/>
    <x v="1"/>
    <x v="1"/>
    <n v="12142.578600000001"/>
  </r>
  <r>
    <x v="10"/>
    <x v="1"/>
    <n v="27.55"/>
    <x v="0"/>
    <n v="1"/>
    <x v="1"/>
    <x v="2"/>
    <n v="13937.666499999999"/>
  </r>
  <r>
    <x v="45"/>
    <x v="1"/>
    <n v="32.299999999999997"/>
    <x v="1"/>
    <n v="1"/>
    <x v="0"/>
    <x v="3"/>
    <n v="41919.097000000002"/>
  </r>
  <r>
    <x v="6"/>
    <x v="0"/>
    <n v="27.72"/>
    <x v="0"/>
    <n v="1"/>
    <x v="1"/>
    <x v="1"/>
    <n v="8232.6388000000006"/>
  </r>
  <r>
    <x v="23"/>
    <x v="0"/>
    <n v="27.6"/>
    <x v="0"/>
    <n v="0"/>
    <x v="1"/>
    <x v="0"/>
    <n v="18955.220170000001"/>
  </r>
  <r>
    <x v="10"/>
    <x v="1"/>
    <n v="30.02"/>
    <x v="1"/>
    <n v="0"/>
    <x v="1"/>
    <x v="2"/>
    <n v="13352.0998"/>
  </r>
  <r>
    <x v="8"/>
    <x v="0"/>
    <n v="27.55"/>
    <x v="0"/>
    <n v="0"/>
    <x v="1"/>
    <x v="3"/>
    <n v="13217.094499999999"/>
  </r>
  <r>
    <x v="18"/>
    <x v="1"/>
    <n v="36.765000000000001"/>
    <x v="1"/>
    <n v="0"/>
    <x v="1"/>
    <x v="3"/>
    <n v="13981.850350000001"/>
  </r>
  <r>
    <x v="41"/>
    <x v="0"/>
    <n v="41.47"/>
    <x v="1"/>
    <n v="4"/>
    <x v="1"/>
    <x v="1"/>
    <n v="10977.2063"/>
  </r>
  <r>
    <x v="16"/>
    <x v="0"/>
    <n v="29.26"/>
    <x v="0"/>
    <n v="3"/>
    <x v="1"/>
    <x v="1"/>
    <n v="6184.2993999999999"/>
  </r>
  <r>
    <x v="3"/>
    <x v="1"/>
    <n v="35.75"/>
    <x v="1"/>
    <n v="2"/>
    <x v="1"/>
    <x v="1"/>
    <n v="4889.9994999999999"/>
  </r>
  <r>
    <x v="6"/>
    <x v="1"/>
    <n v="33.344999999999999"/>
    <x v="1"/>
    <n v="1"/>
    <x v="1"/>
    <x v="3"/>
    <n v="8334.4575499999992"/>
  </r>
  <r>
    <x v="26"/>
    <x v="0"/>
    <n v="29.92"/>
    <x v="0"/>
    <n v="1"/>
    <x v="1"/>
    <x v="1"/>
    <n v="5478.0367999999999"/>
  </r>
  <r>
    <x v="0"/>
    <x v="1"/>
    <n v="27.835000000000001"/>
    <x v="0"/>
    <n v="0"/>
    <x v="1"/>
    <x v="2"/>
    <n v="1635.7336499999999"/>
  </r>
  <r>
    <x v="37"/>
    <x v="0"/>
    <n v="23.18"/>
    <x v="2"/>
    <n v="0"/>
    <x v="1"/>
    <x v="2"/>
    <n v="11830.6072"/>
  </r>
  <r>
    <x v="45"/>
    <x v="0"/>
    <n v="25.6"/>
    <x v="0"/>
    <n v="0"/>
    <x v="1"/>
    <x v="0"/>
    <n v="8932.0840000000007"/>
  </r>
  <r>
    <x v="15"/>
    <x v="0"/>
    <n v="27.7"/>
    <x v="0"/>
    <n v="0"/>
    <x v="1"/>
    <x v="0"/>
    <n v="3554.203"/>
  </r>
  <r>
    <x v="3"/>
    <x v="1"/>
    <n v="35.244999999999997"/>
    <x v="1"/>
    <n v="0"/>
    <x v="1"/>
    <x v="3"/>
    <n v="12404.8791"/>
  </r>
  <r>
    <x v="1"/>
    <x v="0"/>
    <n v="38.28"/>
    <x v="1"/>
    <n v="0"/>
    <x v="1"/>
    <x v="1"/>
    <n v="14133.03775"/>
  </r>
  <r>
    <x v="6"/>
    <x v="1"/>
    <n v="27.6"/>
    <x v="0"/>
    <n v="0"/>
    <x v="1"/>
    <x v="0"/>
    <n v="24603.04837"/>
  </r>
  <r>
    <x v="6"/>
    <x v="1"/>
    <n v="43.89"/>
    <x v="1"/>
    <n v="3"/>
    <x v="1"/>
    <x v="1"/>
    <n v="8944.1151000000009"/>
  </r>
  <r>
    <x v="42"/>
    <x v="1"/>
    <n v="29.83"/>
    <x v="0"/>
    <n v="3"/>
    <x v="1"/>
    <x v="2"/>
    <n v="9620.3307000000004"/>
  </r>
  <r>
    <x v="11"/>
    <x v="1"/>
    <n v="41.91"/>
    <x v="1"/>
    <n v="0"/>
    <x v="1"/>
    <x v="1"/>
    <n v="1837.2819"/>
  </r>
  <r>
    <x v="1"/>
    <x v="0"/>
    <n v="20.79"/>
    <x v="2"/>
    <n v="0"/>
    <x v="1"/>
    <x v="1"/>
    <n v="1607.5101"/>
  </r>
  <r>
    <x v="28"/>
    <x v="0"/>
    <n v="32.299999999999997"/>
    <x v="1"/>
    <n v="2"/>
    <x v="1"/>
    <x v="3"/>
    <n v="10043.249"/>
  </r>
  <r>
    <x v="22"/>
    <x v="1"/>
    <n v="30.5"/>
    <x v="1"/>
    <n v="1"/>
    <x v="1"/>
    <x v="0"/>
    <n v="4751.07"/>
  </r>
  <r>
    <x v="0"/>
    <x v="0"/>
    <n v="21.7"/>
    <x v="2"/>
    <n v="0"/>
    <x v="0"/>
    <x v="0"/>
    <n v="13844.505999999999"/>
  </r>
  <r>
    <x v="27"/>
    <x v="0"/>
    <n v="26.4"/>
    <x v="0"/>
    <n v="1"/>
    <x v="1"/>
    <x v="0"/>
    <n v="2597.779"/>
  </r>
  <r>
    <x v="27"/>
    <x v="0"/>
    <n v="21.89"/>
    <x v="2"/>
    <n v="2"/>
    <x v="1"/>
    <x v="1"/>
    <n v="3180.5101"/>
  </r>
  <r>
    <x v="41"/>
    <x v="0"/>
    <n v="30.78"/>
    <x v="1"/>
    <n v="1"/>
    <x v="1"/>
    <x v="3"/>
    <n v="9778.3472000000002"/>
  </r>
  <r>
    <x v="12"/>
    <x v="0"/>
    <n v="32.299999999999997"/>
    <x v="1"/>
    <n v="3"/>
    <x v="1"/>
    <x v="3"/>
    <n v="13430.264999999999"/>
  </r>
  <r>
    <x v="44"/>
    <x v="0"/>
    <n v="24.984999999999999"/>
    <x v="0"/>
    <n v="2"/>
    <x v="1"/>
    <x v="2"/>
    <n v="8017.0611500000005"/>
  </r>
  <r>
    <x v="36"/>
    <x v="1"/>
    <n v="32.015000000000001"/>
    <x v="1"/>
    <n v="2"/>
    <x v="1"/>
    <x v="2"/>
    <n v="8116.2688500000004"/>
  </r>
  <r>
    <x v="1"/>
    <x v="1"/>
    <n v="30.4"/>
    <x v="1"/>
    <n v="3"/>
    <x v="1"/>
    <x v="3"/>
    <n v="3481.8679999999999"/>
  </r>
  <r>
    <x v="35"/>
    <x v="0"/>
    <n v="21.09"/>
    <x v="2"/>
    <n v="0"/>
    <x v="1"/>
    <x v="2"/>
    <n v="13415.0381"/>
  </r>
  <r>
    <x v="37"/>
    <x v="0"/>
    <n v="22.23"/>
    <x v="2"/>
    <n v="0"/>
    <x v="1"/>
    <x v="3"/>
    <n v="12029.286700000001"/>
  </r>
  <r>
    <x v="44"/>
    <x v="0"/>
    <n v="33.155000000000001"/>
    <x v="1"/>
    <n v="1"/>
    <x v="1"/>
    <x v="3"/>
    <n v="7639.4174499999999"/>
  </r>
  <r>
    <x v="21"/>
    <x v="1"/>
    <n v="32.9"/>
    <x v="1"/>
    <n v="2"/>
    <x v="0"/>
    <x v="0"/>
    <n v="36085.218999999997"/>
  </r>
  <r>
    <x v="34"/>
    <x v="1"/>
    <n v="33.33"/>
    <x v="1"/>
    <n v="0"/>
    <x v="1"/>
    <x v="1"/>
    <n v="1391.5287000000001"/>
  </r>
  <r>
    <x v="11"/>
    <x v="0"/>
    <n v="28.31"/>
    <x v="0"/>
    <n v="0"/>
    <x v="0"/>
    <x v="2"/>
    <n v="18033.9679"/>
  </r>
  <r>
    <x v="46"/>
    <x v="0"/>
    <n v="24.89"/>
    <x v="2"/>
    <n v="3"/>
    <x v="0"/>
    <x v="3"/>
    <n v="21659.930100000001"/>
  </r>
  <r>
    <x v="23"/>
    <x v="1"/>
    <n v="40.15"/>
    <x v="1"/>
    <n v="0"/>
    <x v="0"/>
    <x v="1"/>
    <n v="38126.246500000001"/>
  </r>
  <r>
    <x v="33"/>
    <x v="0"/>
    <n v="30.114999999999998"/>
    <x v="1"/>
    <n v="3"/>
    <x v="1"/>
    <x v="2"/>
    <n v="16455.707849999999"/>
  </r>
  <r>
    <x v="10"/>
    <x v="1"/>
    <n v="31.46"/>
    <x v="1"/>
    <n v="1"/>
    <x v="1"/>
    <x v="1"/>
    <n v="27000.98473"/>
  </r>
  <r>
    <x v="13"/>
    <x v="0"/>
    <n v="17.954999999999998"/>
    <x v="3"/>
    <n v="2"/>
    <x v="0"/>
    <x v="3"/>
    <n v="15006.579449999999"/>
  </r>
  <r>
    <x v="19"/>
    <x v="1"/>
    <n v="30.684999999999999"/>
    <x v="1"/>
    <n v="0"/>
    <x v="0"/>
    <x v="3"/>
    <n v="42303.692150000003"/>
  </r>
  <r>
    <x v="19"/>
    <x v="1"/>
    <n v="33"/>
    <x v="1"/>
    <n v="0"/>
    <x v="1"/>
    <x v="1"/>
    <n v="20781.48892"/>
  </r>
  <r>
    <x v="22"/>
    <x v="0"/>
    <n v="43.34"/>
    <x v="1"/>
    <n v="2"/>
    <x v="1"/>
    <x v="1"/>
    <n v="5846.9175999999998"/>
  </r>
  <r>
    <x v="36"/>
    <x v="1"/>
    <n v="22.135000000000002"/>
    <x v="2"/>
    <n v="2"/>
    <x v="1"/>
    <x v="3"/>
    <n v="8302.5356499999998"/>
  </r>
  <r>
    <x v="0"/>
    <x v="1"/>
    <n v="34.4"/>
    <x v="1"/>
    <n v="0"/>
    <x v="1"/>
    <x v="0"/>
    <n v="1261.8589999999999"/>
  </r>
  <r>
    <x v="30"/>
    <x v="0"/>
    <n v="39.049999999999997"/>
    <x v="1"/>
    <n v="0"/>
    <x v="1"/>
    <x v="1"/>
    <n v="11856.4115"/>
  </r>
  <r>
    <x v="45"/>
    <x v="1"/>
    <n v="25.364999999999998"/>
    <x v="0"/>
    <n v="2"/>
    <x v="1"/>
    <x v="2"/>
    <n v="30284.642940000002"/>
  </r>
  <r>
    <x v="21"/>
    <x v="0"/>
    <n v="22.61"/>
    <x v="2"/>
    <n v="0"/>
    <x v="1"/>
    <x v="2"/>
    <n v="3176.8159000000001"/>
  </r>
  <r>
    <x v="23"/>
    <x v="0"/>
    <n v="30.21"/>
    <x v="1"/>
    <n v="3"/>
    <x v="1"/>
    <x v="2"/>
    <n v="4618.0798999999997"/>
  </r>
  <r>
    <x v="28"/>
    <x v="1"/>
    <n v="35.625"/>
    <x v="1"/>
    <n v="4"/>
    <x v="1"/>
    <x v="3"/>
    <n v="10736.87075"/>
  </r>
  <r>
    <x v="0"/>
    <x v="0"/>
    <n v="37.43"/>
    <x v="1"/>
    <n v="0"/>
    <x v="1"/>
    <x v="2"/>
    <n v="2138.0707000000002"/>
  </r>
  <r>
    <x v="28"/>
    <x v="1"/>
    <n v="31.445"/>
    <x v="1"/>
    <n v="1"/>
    <x v="1"/>
    <x v="3"/>
    <n v="8964.0605500000001"/>
  </r>
  <r>
    <x v="41"/>
    <x v="1"/>
    <n v="31.35"/>
    <x v="1"/>
    <n v="1"/>
    <x v="1"/>
    <x v="3"/>
    <n v="9290.1394999999993"/>
  </r>
  <r>
    <x v="6"/>
    <x v="0"/>
    <n v="32.299999999999997"/>
    <x v="1"/>
    <n v="2"/>
    <x v="1"/>
    <x v="3"/>
    <n v="9411.0049999999992"/>
  </r>
  <r>
    <x v="6"/>
    <x v="1"/>
    <n v="19.855"/>
    <x v="2"/>
    <n v="0"/>
    <x v="1"/>
    <x v="2"/>
    <n v="7526.7064499999997"/>
  </r>
  <r>
    <x v="32"/>
    <x v="0"/>
    <n v="34.4"/>
    <x v="1"/>
    <n v="3"/>
    <x v="1"/>
    <x v="0"/>
    <n v="8522.0030000000006"/>
  </r>
  <r>
    <x v="27"/>
    <x v="1"/>
    <n v="31.02"/>
    <x v="1"/>
    <n v="0"/>
    <x v="1"/>
    <x v="1"/>
    <n v="16586.49771"/>
  </r>
  <r>
    <x v="33"/>
    <x v="1"/>
    <n v="25.6"/>
    <x v="0"/>
    <n v="2"/>
    <x v="1"/>
    <x v="0"/>
    <n v="14988.432000000001"/>
  </r>
  <r>
    <x v="1"/>
    <x v="0"/>
    <n v="38.17"/>
    <x v="1"/>
    <n v="0"/>
    <x v="1"/>
    <x v="1"/>
    <n v="1631.6683"/>
  </r>
  <r>
    <x v="43"/>
    <x v="0"/>
    <n v="20.6"/>
    <x v="2"/>
    <n v="0"/>
    <x v="1"/>
    <x v="0"/>
    <n v="9264.7970000000005"/>
  </r>
  <r>
    <x v="42"/>
    <x v="1"/>
    <n v="47.52"/>
    <x v="1"/>
    <n v="1"/>
    <x v="1"/>
    <x v="1"/>
    <n v="8083.9197999999997"/>
  </r>
  <r>
    <x v="33"/>
    <x v="0"/>
    <n v="32.965000000000003"/>
    <x v="1"/>
    <n v="0"/>
    <x v="1"/>
    <x v="2"/>
    <n v="14692.66935"/>
  </r>
  <r>
    <x v="41"/>
    <x v="1"/>
    <n v="32.299999999999997"/>
    <x v="1"/>
    <n v="3"/>
    <x v="1"/>
    <x v="2"/>
    <n v="10269.459999999999"/>
  </r>
  <r>
    <x v="5"/>
    <x v="1"/>
    <n v="20.399999999999999"/>
    <x v="2"/>
    <n v="0"/>
    <x v="1"/>
    <x v="0"/>
    <n v="3260.1990000000001"/>
  </r>
  <r>
    <x v="14"/>
    <x v="0"/>
    <n v="38.380000000000003"/>
    <x v="1"/>
    <n v="2"/>
    <x v="1"/>
    <x v="3"/>
    <n v="11396.9002"/>
  </r>
  <r>
    <x v="3"/>
    <x v="0"/>
    <n v="24.31"/>
    <x v="2"/>
    <n v="0"/>
    <x v="1"/>
    <x v="1"/>
    <n v="4185.0978999999998"/>
  </r>
  <r>
    <x v="42"/>
    <x v="0"/>
    <n v="23.6"/>
    <x v="2"/>
    <n v="1"/>
    <x v="1"/>
    <x v="0"/>
    <n v="8539.6710000000003"/>
  </r>
  <r>
    <x v="25"/>
    <x v="1"/>
    <n v="21.12"/>
    <x v="2"/>
    <n v="3"/>
    <x v="1"/>
    <x v="1"/>
    <n v="6652.5288"/>
  </r>
  <r>
    <x v="4"/>
    <x v="1"/>
    <n v="30.03"/>
    <x v="1"/>
    <n v="1"/>
    <x v="1"/>
    <x v="1"/>
    <n v="4074.4537"/>
  </r>
  <r>
    <x v="0"/>
    <x v="1"/>
    <n v="17.48"/>
    <x v="3"/>
    <n v="0"/>
    <x v="1"/>
    <x v="2"/>
    <n v="1621.3402000000001"/>
  </r>
  <r>
    <x v="36"/>
    <x v="0"/>
    <n v="20.234999999999999"/>
    <x v="2"/>
    <n v="1"/>
    <x v="0"/>
    <x v="3"/>
    <n v="19594.809649999999"/>
  </r>
  <r>
    <x v="21"/>
    <x v="0"/>
    <n v="17.195"/>
    <x v="3"/>
    <n v="2"/>
    <x v="0"/>
    <x v="3"/>
    <n v="14455.644050000001"/>
  </r>
  <r>
    <x v="9"/>
    <x v="1"/>
    <n v="23.9"/>
    <x v="2"/>
    <n v="5"/>
    <x v="1"/>
    <x v="0"/>
    <n v="5080.0959999999995"/>
  </r>
  <r>
    <x v="0"/>
    <x v="0"/>
    <n v="35.15"/>
    <x v="1"/>
    <n v="0"/>
    <x v="1"/>
    <x v="2"/>
    <n v="2134.9014999999999"/>
  </r>
  <r>
    <x v="32"/>
    <x v="0"/>
    <n v="35.64"/>
    <x v="1"/>
    <n v="1"/>
    <x v="1"/>
    <x v="1"/>
    <n v="7345.7266"/>
  </r>
  <r>
    <x v="14"/>
    <x v="1"/>
    <n v="34.1"/>
    <x v="1"/>
    <n v="0"/>
    <x v="1"/>
    <x v="1"/>
    <n v="9140.9509999999991"/>
  </r>
  <r>
    <x v="26"/>
    <x v="0"/>
    <n v="22.6"/>
    <x v="2"/>
    <n v="2"/>
    <x v="0"/>
    <x v="0"/>
    <n v="18608.261999999999"/>
  </r>
  <r>
    <x v="33"/>
    <x v="1"/>
    <n v="39.159999999999997"/>
    <x v="1"/>
    <n v="1"/>
    <x v="1"/>
    <x v="1"/>
    <n v="14418.2804"/>
  </r>
  <r>
    <x v="18"/>
    <x v="0"/>
    <n v="26.98"/>
    <x v="0"/>
    <n v="0"/>
    <x v="0"/>
    <x v="2"/>
    <n v="28950.4692"/>
  </r>
  <r>
    <x v="33"/>
    <x v="1"/>
    <n v="33.880000000000003"/>
    <x v="1"/>
    <n v="0"/>
    <x v="0"/>
    <x v="1"/>
    <n v="46889.261200000001"/>
  </r>
  <r>
    <x v="35"/>
    <x v="1"/>
    <n v="35.86"/>
    <x v="1"/>
    <n v="0"/>
    <x v="0"/>
    <x v="1"/>
    <n v="46599.108399999997"/>
  </r>
  <r>
    <x v="29"/>
    <x v="1"/>
    <n v="32.774999999999999"/>
    <x v="1"/>
    <n v="1"/>
    <x v="0"/>
    <x v="3"/>
    <n v="39125.332249999999"/>
  </r>
  <r>
    <x v="9"/>
    <x v="1"/>
    <n v="30.59"/>
    <x v="1"/>
    <n v="0"/>
    <x v="1"/>
    <x v="3"/>
    <n v="2727.3951000000002"/>
  </r>
  <r>
    <x v="28"/>
    <x v="1"/>
    <n v="30.2"/>
    <x v="1"/>
    <n v="2"/>
    <x v="1"/>
    <x v="0"/>
    <n v="8968.33"/>
  </r>
  <r>
    <x v="39"/>
    <x v="1"/>
    <n v="24.31"/>
    <x v="2"/>
    <n v="5"/>
    <x v="1"/>
    <x v="1"/>
    <n v="9788.8659000000007"/>
  </r>
  <r>
    <x v="25"/>
    <x v="0"/>
    <n v="27.265000000000001"/>
    <x v="0"/>
    <n v="1"/>
    <x v="1"/>
    <x v="3"/>
    <n v="6555.07035"/>
  </r>
  <r>
    <x v="1"/>
    <x v="0"/>
    <n v="29.164999999999999"/>
    <x v="0"/>
    <n v="0"/>
    <x v="1"/>
    <x v="3"/>
    <n v="7323.7348190000002"/>
  </r>
  <r>
    <x v="27"/>
    <x v="0"/>
    <n v="16.815000000000001"/>
    <x v="3"/>
    <n v="1"/>
    <x v="1"/>
    <x v="3"/>
    <n v="3167.4558499999998"/>
  </r>
  <r>
    <x v="13"/>
    <x v="0"/>
    <n v="30.4"/>
    <x v="1"/>
    <n v="3"/>
    <x v="1"/>
    <x v="2"/>
    <n v="18804.752400000001"/>
  </r>
  <r>
    <x v="0"/>
    <x v="1"/>
    <n v="33.1"/>
    <x v="1"/>
    <n v="0"/>
    <x v="1"/>
    <x v="0"/>
    <n v="23082.955330000001"/>
  </r>
  <r>
    <x v="38"/>
    <x v="0"/>
    <n v="20.234999999999999"/>
    <x v="2"/>
    <n v="2"/>
    <x v="1"/>
    <x v="2"/>
    <n v="4906.4096499999996"/>
  </r>
  <r>
    <x v="44"/>
    <x v="1"/>
    <n v="26.9"/>
    <x v="0"/>
    <n v="0"/>
    <x v="1"/>
    <x v="0"/>
    <n v="5969.723"/>
  </r>
  <r>
    <x v="8"/>
    <x v="0"/>
    <n v="30.5"/>
    <x v="1"/>
    <n v="0"/>
    <x v="1"/>
    <x v="0"/>
    <n v="12638.195"/>
  </r>
  <r>
    <x v="5"/>
    <x v="1"/>
    <n v="28.594999999999999"/>
    <x v="0"/>
    <n v="1"/>
    <x v="1"/>
    <x v="2"/>
    <n v="4243.5900499999998"/>
  </r>
  <r>
    <x v="8"/>
    <x v="1"/>
    <n v="33.11"/>
    <x v="1"/>
    <n v="3"/>
    <x v="1"/>
    <x v="1"/>
    <n v="13919.822899999999"/>
  </r>
  <r>
    <x v="20"/>
    <x v="1"/>
    <n v="31.73"/>
    <x v="1"/>
    <n v="0"/>
    <x v="1"/>
    <x v="3"/>
    <n v="2254.7966999999999"/>
  </r>
  <r>
    <x v="22"/>
    <x v="1"/>
    <n v="28.9"/>
    <x v="0"/>
    <n v="3"/>
    <x v="1"/>
    <x v="0"/>
    <n v="5926.8459999999995"/>
  </r>
  <r>
    <x v="14"/>
    <x v="0"/>
    <n v="46.75"/>
    <x v="1"/>
    <n v="5"/>
    <x v="1"/>
    <x v="1"/>
    <n v="12592.5345"/>
  </r>
  <r>
    <x v="21"/>
    <x v="1"/>
    <n v="29.45"/>
    <x v="0"/>
    <n v="0"/>
    <x v="1"/>
    <x v="3"/>
    <n v="2897.3235"/>
  </r>
  <r>
    <x v="5"/>
    <x v="0"/>
    <n v="32.68"/>
    <x v="1"/>
    <n v="1"/>
    <x v="1"/>
    <x v="2"/>
    <n v="4738.2682000000004"/>
  </r>
  <r>
    <x v="3"/>
    <x v="0"/>
    <n v="33.5"/>
    <x v="1"/>
    <n v="0"/>
    <x v="0"/>
    <x v="0"/>
    <n v="37079.372000000003"/>
  </r>
  <r>
    <x v="1"/>
    <x v="1"/>
    <n v="43.01"/>
    <x v="1"/>
    <n v="0"/>
    <x v="1"/>
    <x v="1"/>
    <n v="1149.3959"/>
  </r>
  <r>
    <x v="17"/>
    <x v="0"/>
    <n v="36.520000000000003"/>
    <x v="1"/>
    <n v="1"/>
    <x v="1"/>
    <x v="1"/>
    <n v="28287.897659999999"/>
  </r>
  <r>
    <x v="12"/>
    <x v="1"/>
    <n v="26.695"/>
    <x v="0"/>
    <n v="1"/>
    <x v="0"/>
    <x v="2"/>
    <n v="26109.32905"/>
  </r>
  <r>
    <x v="39"/>
    <x v="0"/>
    <n v="33.1"/>
    <x v="1"/>
    <n v="0"/>
    <x v="1"/>
    <x v="0"/>
    <n v="7345.0839999999998"/>
  </r>
  <r>
    <x v="8"/>
    <x v="1"/>
    <n v="29.64"/>
    <x v="0"/>
    <n v="0"/>
    <x v="1"/>
    <x v="3"/>
    <n v="12730.999599999999"/>
  </r>
  <r>
    <x v="12"/>
    <x v="0"/>
    <n v="25.65"/>
    <x v="0"/>
    <n v="0"/>
    <x v="1"/>
    <x v="2"/>
    <n v="11454.021500000001"/>
  </r>
  <r>
    <x v="29"/>
    <x v="0"/>
    <n v="29.6"/>
    <x v="0"/>
    <n v="0"/>
    <x v="1"/>
    <x v="0"/>
    <n v="5910.9440000000004"/>
  </r>
  <r>
    <x v="22"/>
    <x v="1"/>
    <n v="38.6"/>
    <x v="1"/>
    <n v="1"/>
    <x v="1"/>
    <x v="0"/>
    <n v="4762.3289999999997"/>
  </r>
  <r>
    <x v="46"/>
    <x v="1"/>
    <n v="29.6"/>
    <x v="0"/>
    <n v="4"/>
    <x v="1"/>
    <x v="0"/>
    <n v="7512.2669999999998"/>
  </r>
  <r>
    <x v="15"/>
    <x v="1"/>
    <n v="24.13"/>
    <x v="2"/>
    <n v="1"/>
    <x v="1"/>
    <x v="2"/>
    <n v="4032.2406999999998"/>
  </r>
  <r>
    <x v="23"/>
    <x v="1"/>
    <n v="23.4"/>
    <x v="2"/>
    <n v="0"/>
    <x v="1"/>
    <x v="0"/>
    <n v="1969.614"/>
  </r>
  <r>
    <x v="34"/>
    <x v="1"/>
    <n v="29.734999999999999"/>
    <x v="0"/>
    <n v="0"/>
    <x v="1"/>
    <x v="2"/>
    <n v="1769.5316499999999"/>
  </r>
  <r>
    <x v="4"/>
    <x v="1"/>
    <n v="46.53"/>
    <x v="1"/>
    <n v="2"/>
    <x v="1"/>
    <x v="1"/>
    <n v="4686.3887000000004"/>
  </r>
  <r>
    <x v="17"/>
    <x v="1"/>
    <n v="37.4"/>
    <x v="1"/>
    <n v="0"/>
    <x v="1"/>
    <x v="0"/>
    <n v="21797.000400000001"/>
  </r>
  <r>
    <x v="19"/>
    <x v="0"/>
    <n v="30.14"/>
    <x v="1"/>
    <n v="2"/>
    <x v="1"/>
    <x v="1"/>
    <n v="11881.9696"/>
  </r>
  <r>
    <x v="37"/>
    <x v="0"/>
    <n v="30.495000000000001"/>
    <x v="1"/>
    <n v="0"/>
    <x v="1"/>
    <x v="2"/>
    <n v="11840.77505"/>
  </r>
  <r>
    <x v="12"/>
    <x v="1"/>
    <n v="39.6"/>
    <x v="1"/>
    <n v="0"/>
    <x v="1"/>
    <x v="0"/>
    <n v="10601.412"/>
  </r>
  <r>
    <x v="29"/>
    <x v="0"/>
    <n v="33"/>
    <x v="1"/>
    <n v="3"/>
    <x v="1"/>
    <x v="1"/>
    <n v="7682.67"/>
  </r>
  <r>
    <x v="41"/>
    <x v="0"/>
    <n v="36.630000000000003"/>
    <x v="1"/>
    <n v="3"/>
    <x v="1"/>
    <x v="1"/>
    <n v="10381.4787"/>
  </r>
  <r>
    <x v="44"/>
    <x v="1"/>
    <n v="30"/>
    <x v="1"/>
    <n v="0"/>
    <x v="0"/>
    <x v="0"/>
    <n v="22144.031999999999"/>
  </r>
  <r>
    <x v="10"/>
    <x v="0"/>
    <n v="38.094999999999999"/>
    <x v="1"/>
    <n v="2"/>
    <x v="1"/>
    <x v="3"/>
    <n v="15230.324049999999"/>
  </r>
  <r>
    <x v="12"/>
    <x v="1"/>
    <n v="25.934999999999999"/>
    <x v="0"/>
    <n v="0"/>
    <x v="1"/>
    <x v="3"/>
    <n v="11165.417649999999"/>
  </r>
  <r>
    <x v="0"/>
    <x v="1"/>
    <n v="25.175000000000001"/>
    <x v="0"/>
    <n v="0"/>
    <x v="1"/>
    <x v="2"/>
    <n v="1632.0362500000001"/>
  </r>
  <r>
    <x v="15"/>
    <x v="0"/>
    <n v="28.38"/>
    <x v="0"/>
    <n v="1"/>
    <x v="0"/>
    <x v="1"/>
    <n v="19521.968199999999"/>
  </r>
  <r>
    <x v="8"/>
    <x v="0"/>
    <n v="28.7"/>
    <x v="0"/>
    <n v="1"/>
    <x v="1"/>
    <x v="0"/>
    <n v="13224.692999999999"/>
  </r>
  <r>
    <x v="12"/>
    <x v="0"/>
    <n v="33.82"/>
    <x v="1"/>
    <n v="2"/>
    <x v="1"/>
    <x v="2"/>
    <n v="12643.3778"/>
  </r>
  <r>
    <x v="2"/>
    <x v="0"/>
    <n v="24.32"/>
    <x v="2"/>
    <n v="1"/>
    <x v="1"/>
    <x v="3"/>
    <n v="23288.928400000001"/>
  </r>
  <r>
    <x v="1"/>
    <x v="0"/>
    <n v="24.09"/>
    <x v="2"/>
    <n v="1"/>
    <x v="1"/>
    <x v="1"/>
    <n v="2201.0971"/>
  </r>
  <r>
    <x v="13"/>
    <x v="1"/>
    <n v="32.67"/>
    <x v="1"/>
    <n v="0"/>
    <x v="1"/>
    <x v="1"/>
    <n v="2497.0383000000002"/>
  </r>
  <r>
    <x v="1"/>
    <x v="0"/>
    <n v="30.114999999999998"/>
    <x v="1"/>
    <n v="0"/>
    <x v="1"/>
    <x v="3"/>
    <n v="2203.4718499999999"/>
  </r>
  <r>
    <x v="0"/>
    <x v="0"/>
    <n v="29.8"/>
    <x v="0"/>
    <n v="0"/>
    <x v="1"/>
    <x v="0"/>
    <n v="1744.4649999999999"/>
  </r>
  <r>
    <x v="42"/>
    <x v="0"/>
    <n v="33.344999999999999"/>
    <x v="1"/>
    <n v="0"/>
    <x v="1"/>
    <x v="3"/>
    <n v="20878.78443"/>
  </r>
  <r>
    <x v="40"/>
    <x v="1"/>
    <n v="25.1"/>
    <x v="0"/>
    <n v="3"/>
    <x v="0"/>
    <x v="0"/>
    <n v="25382.296999999999"/>
  </r>
  <r>
    <x v="35"/>
    <x v="1"/>
    <n v="28.31"/>
    <x v="0"/>
    <n v="1"/>
    <x v="0"/>
    <x v="2"/>
    <n v="28868.6639"/>
  </r>
  <r>
    <x v="23"/>
    <x v="1"/>
    <n v="28.5"/>
    <x v="0"/>
    <n v="0"/>
    <x v="0"/>
    <x v="3"/>
    <n v="35147.528480000001"/>
  </r>
  <r>
    <x v="9"/>
    <x v="1"/>
    <n v="35.625"/>
    <x v="1"/>
    <n v="0"/>
    <x v="1"/>
    <x v="2"/>
    <n v="2534.3937500000002"/>
  </r>
  <r>
    <x v="27"/>
    <x v="1"/>
    <n v="36.85"/>
    <x v="1"/>
    <n v="0"/>
    <x v="1"/>
    <x v="1"/>
    <n v="1534.3045"/>
  </r>
  <r>
    <x v="11"/>
    <x v="1"/>
    <n v="32.56"/>
    <x v="1"/>
    <n v="0"/>
    <x v="1"/>
    <x v="1"/>
    <n v="1824.2854"/>
  </r>
  <r>
    <x v="18"/>
    <x v="1"/>
    <n v="41.325000000000003"/>
    <x v="1"/>
    <n v="3"/>
    <x v="1"/>
    <x v="2"/>
    <n v="15555.188749999999"/>
  </r>
  <r>
    <x v="41"/>
    <x v="1"/>
    <n v="37.51"/>
    <x v="1"/>
    <n v="2"/>
    <x v="1"/>
    <x v="1"/>
    <n v="9304.7019"/>
  </r>
  <r>
    <x v="1"/>
    <x v="0"/>
    <n v="31.35"/>
    <x v="1"/>
    <n v="0"/>
    <x v="1"/>
    <x v="1"/>
    <n v="1622.1885"/>
  </r>
  <r>
    <x v="43"/>
    <x v="0"/>
    <n v="39.5"/>
    <x v="1"/>
    <n v="1"/>
    <x v="1"/>
    <x v="0"/>
    <n v="9880.0679999999993"/>
  </r>
  <r>
    <x v="28"/>
    <x v="1"/>
    <n v="34.299999999999997"/>
    <x v="1"/>
    <n v="3"/>
    <x v="1"/>
    <x v="0"/>
    <n v="9563.0290000000005"/>
  </r>
  <r>
    <x v="5"/>
    <x v="0"/>
    <n v="31.065000000000001"/>
    <x v="1"/>
    <n v="0"/>
    <x v="1"/>
    <x v="3"/>
    <n v="4347.0233500000004"/>
  </r>
  <r>
    <x v="40"/>
    <x v="0"/>
    <n v="21.47"/>
    <x v="2"/>
    <n v="3"/>
    <x v="1"/>
    <x v="2"/>
    <n v="12475.3513"/>
  </r>
  <r>
    <x v="0"/>
    <x v="1"/>
    <n v="28.7"/>
    <x v="0"/>
    <n v="0"/>
    <x v="1"/>
    <x v="0"/>
    <n v="1253.9359999999999"/>
  </r>
  <r>
    <x v="36"/>
    <x v="0"/>
    <n v="38.06"/>
    <x v="1"/>
    <n v="0"/>
    <x v="0"/>
    <x v="1"/>
    <n v="48885.135609999998"/>
  </r>
  <r>
    <x v="31"/>
    <x v="1"/>
    <n v="31.16"/>
    <x v="1"/>
    <n v="1"/>
    <x v="1"/>
    <x v="2"/>
    <n v="10461.9794"/>
  </r>
  <r>
    <x v="0"/>
    <x v="0"/>
    <n v="32.9"/>
    <x v="1"/>
    <n v="0"/>
    <x v="1"/>
    <x v="0"/>
    <n v="1748.7739999999999"/>
  </r>
  <r>
    <x v="35"/>
    <x v="0"/>
    <n v="25.08"/>
    <x v="0"/>
    <n v="0"/>
    <x v="1"/>
    <x v="1"/>
    <n v="24513.091260000001"/>
  </r>
  <r>
    <x v="1"/>
    <x v="0"/>
    <n v="25.08"/>
    <x v="0"/>
    <n v="0"/>
    <x v="1"/>
    <x v="3"/>
    <n v="2196.4731999999999"/>
  </r>
  <r>
    <x v="35"/>
    <x v="1"/>
    <n v="43.4"/>
    <x v="1"/>
    <n v="0"/>
    <x v="1"/>
    <x v="0"/>
    <n v="12574.049000000001"/>
  </r>
  <r>
    <x v="27"/>
    <x v="1"/>
    <n v="25.7"/>
    <x v="0"/>
    <n v="4"/>
    <x v="0"/>
    <x v="0"/>
    <n v="17942.106"/>
  </r>
  <r>
    <x v="34"/>
    <x v="1"/>
    <n v="27.93"/>
    <x v="0"/>
    <n v="0"/>
    <x v="1"/>
    <x v="3"/>
    <n v="1967.0227"/>
  </r>
  <r>
    <x v="5"/>
    <x v="0"/>
    <n v="23.6"/>
    <x v="2"/>
    <n v="2"/>
    <x v="1"/>
    <x v="0"/>
    <n v="4931.6469999999999"/>
  </r>
  <r>
    <x v="39"/>
    <x v="1"/>
    <n v="28.7"/>
    <x v="0"/>
    <n v="2"/>
    <x v="1"/>
    <x v="0"/>
    <n v="8027.9679999999998"/>
  </r>
  <r>
    <x v="36"/>
    <x v="0"/>
    <n v="23.98"/>
    <x v="2"/>
    <n v="2"/>
    <x v="1"/>
    <x v="1"/>
    <n v="8211.1002000000008"/>
  </r>
  <r>
    <x v="10"/>
    <x v="0"/>
    <n v="39.200000000000003"/>
    <x v="1"/>
    <n v="0"/>
    <x v="1"/>
    <x v="0"/>
    <n v="13470.86"/>
  </r>
  <r>
    <x v="38"/>
    <x v="1"/>
    <n v="34.4"/>
    <x v="1"/>
    <n v="0"/>
    <x v="0"/>
    <x v="0"/>
    <n v="36197.699000000001"/>
  </r>
  <r>
    <x v="32"/>
    <x v="1"/>
    <n v="26.03"/>
    <x v="0"/>
    <n v="0"/>
    <x v="1"/>
    <x v="3"/>
    <n v="6837.3687"/>
  </r>
  <r>
    <x v="43"/>
    <x v="1"/>
    <n v="23.21"/>
    <x v="2"/>
    <n v="1"/>
    <x v="0"/>
    <x v="1"/>
    <n v="22218.1149"/>
  </r>
  <r>
    <x v="0"/>
    <x v="1"/>
    <n v="30.25"/>
    <x v="1"/>
    <n v="0"/>
    <x v="0"/>
    <x v="1"/>
    <n v="32548.340499999998"/>
  </r>
  <r>
    <x v="25"/>
    <x v="0"/>
    <n v="28.93"/>
    <x v="0"/>
    <n v="1"/>
    <x v="1"/>
    <x v="1"/>
    <n v="5974.3846999999996"/>
  </r>
  <r>
    <x v="7"/>
    <x v="1"/>
    <n v="30.875"/>
    <x v="1"/>
    <n v="3"/>
    <x v="1"/>
    <x v="2"/>
    <n v="6796.8632500000003"/>
  </r>
  <r>
    <x v="20"/>
    <x v="1"/>
    <n v="31.35"/>
    <x v="1"/>
    <n v="1"/>
    <x v="1"/>
    <x v="2"/>
    <n v="2643.2685000000001"/>
  </r>
  <r>
    <x v="27"/>
    <x v="1"/>
    <n v="23.75"/>
    <x v="2"/>
    <n v="2"/>
    <x v="1"/>
    <x v="2"/>
    <n v="3077.0954999999999"/>
  </r>
  <r>
    <x v="23"/>
    <x v="0"/>
    <n v="25.27"/>
    <x v="0"/>
    <n v="0"/>
    <x v="1"/>
    <x v="3"/>
    <n v="3044.2132999999999"/>
  </r>
  <r>
    <x v="37"/>
    <x v="0"/>
    <n v="28.7"/>
    <x v="0"/>
    <n v="0"/>
    <x v="1"/>
    <x v="0"/>
    <n v="11455.28"/>
  </r>
  <r>
    <x v="12"/>
    <x v="1"/>
    <n v="32.11"/>
    <x v="1"/>
    <n v="1"/>
    <x v="1"/>
    <x v="3"/>
    <n v="11763.000899999999"/>
  </r>
  <r>
    <x v="13"/>
    <x v="1"/>
    <n v="33.659999999999997"/>
    <x v="1"/>
    <n v="0"/>
    <x v="1"/>
    <x v="1"/>
    <n v="2498.4144000000001"/>
  </r>
  <r>
    <x v="43"/>
    <x v="1"/>
    <n v="22.42"/>
    <x v="2"/>
    <n v="0"/>
    <x v="1"/>
    <x v="3"/>
    <n v="9361.3268000000007"/>
  </r>
  <r>
    <x v="0"/>
    <x v="1"/>
    <n v="30.4"/>
    <x v="1"/>
    <n v="0"/>
    <x v="1"/>
    <x v="0"/>
    <n v="1256.299"/>
  </r>
  <r>
    <x v="46"/>
    <x v="1"/>
    <n v="28.3"/>
    <x v="0"/>
    <n v="1"/>
    <x v="0"/>
    <x v="0"/>
    <n v="21082.16"/>
  </r>
  <r>
    <x v="30"/>
    <x v="1"/>
    <n v="35.700000000000003"/>
    <x v="1"/>
    <n v="0"/>
    <x v="1"/>
    <x v="0"/>
    <n v="11362.754999999999"/>
  </r>
  <r>
    <x v="34"/>
    <x v="1"/>
    <n v="35.31"/>
    <x v="1"/>
    <n v="1"/>
    <x v="1"/>
    <x v="1"/>
    <n v="27724.28875"/>
  </r>
  <r>
    <x v="39"/>
    <x v="1"/>
    <n v="30.495000000000001"/>
    <x v="1"/>
    <n v="2"/>
    <x v="1"/>
    <x v="2"/>
    <n v="8413.4630500000003"/>
  </r>
  <r>
    <x v="22"/>
    <x v="0"/>
    <n v="31"/>
    <x v="1"/>
    <n v="1"/>
    <x v="1"/>
    <x v="0"/>
    <n v="5240.7650000000003"/>
  </r>
  <r>
    <x v="5"/>
    <x v="1"/>
    <n v="30.875"/>
    <x v="1"/>
    <n v="0"/>
    <x v="1"/>
    <x v="3"/>
    <n v="3857.7592500000001"/>
  </r>
  <r>
    <x v="45"/>
    <x v="0"/>
    <n v="27.36"/>
    <x v="0"/>
    <n v="0"/>
    <x v="1"/>
    <x v="3"/>
    <n v="25656.575260000001"/>
  </r>
  <r>
    <x v="4"/>
    <x v="0"/>
    <n v="44.22"/>
    <x v="1"/>
    <n v="0"/>
    <x v="1"/>
    <x v="1"/>
    <n v="3994.1777999999999"/>
  </r>
  <r>
    <x v="43"/>
    <x v="0"/>
    <n v="33.914999999999999"/>
    <x v="1"/>
    <n v="0"/>
    <x v="1"/>
    <x v="3"/>
    <n v="9866.3048500000004"/>
  </r>
  <r>
    <x v="25"/>
    <x v="0"/>
    <n v="37.729999999999997"/>
    <x v="1"/>
    <n v="0"/>
    <x v="1"/>
    <x v="1"/>
    <n v="5397.6166999999996"/>
  </r>
  <r>
    <x v="44"/>
    <x v="1"/>
    <n v="26.07"/>
    <x v="0"/>
    <n v="1"/>
    <x v="0"/>
    <x v="1"/>
    <n v="38245.593269999998"/>
  </r>
  <r>
    <x v="1"/>
    <x v="0"/>
    <n v="33.880000000000003"/>
    <x v="1"/>
    <n v="0"/>
    <x v="1"/>
    <x v="1"/>
    <n v="11482.63485"/>
  </r>
  <r>
    <x v="0"/>
    <x v="0"/>
    <n v="30.59"/>
    <x v="1"/>
    <n v="2"/>
    <x v="1"/>
    <x v="2"/>
    <n v="24059.680189999999"/>
  </r>
  <r>
    <x v="43"/>
    <x v="0"/>
    <n v="25.8"/>
    <x v="0"/>
    <n v="1"/>
    <x v="1"/>
    <x v="0"/>
    <n v="9861.0249999999996"/>
  </r>
  <r>
    <x v="6"/>
    <x v="1"/>
    <n v="39.424999999999997"/>
    <x v="1"/>
    <n v="1"/>
    <x v="1"/>
    <x v="3"/>
    <n v="8342.9087500000005"/>
  </r>
  <r>
    <x v="1"/>
    <x v="1"/>
    <n v="25.46"/>
    <x v="0"/>
    <n v="0"/>
    <x v="1"/>
    <x v="3"/>
    <n v="1708.0014000000001"/>
  </r>
  <r>
    <x v="37"/>
    <x v="1"/>
    <n v="42.13"/>
    <x v="1"/>
    <n v="1"/>
    <x v="0"/>
    <x v="1"/>
    <n v="48675.517699999997"/>
  </r>
  <r>
    <x v="10"/>
    <x v="0"/>
    <n v="31.73"/>
    <x v="1"/>
    <n v="0"/>
    <x v="1"/>
    <x v="3"/>
    <n v="14043.476699999999"/>
  </r>
  <r>
    <x v="17"/>
    <x v="1"/>
    <n v="29.7"/>
    <x v="0"/>
    <n v="2"/>
    <x v="1"/>
    <x v="1"/>
    <n v="12925.886"/>
  </r>
  <r>
    <x v="7"/>
    <x v="1"/>
    <n v="36.19"/>
    <x v="1"/>
    <n v="0"/>
    <x v="1"/>
    <x v="1"/>
    <n v="19214.705529999999"/>
  </r>
  <r>
    <x v="33"/>
    <x v="1"/>
    <n v="40.479999999999997"/>
    <x v="1"/>
    <n v="0"/>
    <x v="1"/>
    <x v="1"/>
    <n v="13831.1152"/>
  </r>
  <r>
    <x v="25"/>
    <x v="1"/>
    <n v="28.024999999999999"/>
    <x v="0"/>
    <n v="1"/>
    <x v="1"/>
    <x v="3"/>
    <n v="6067.1267500000004"/>
  </r>
  <r>
    <x v="3"/>
    <x v="0"/>
    <n v="38.9"/>
    <x v="1"/>
    <n v="3"/>
    <x v="1"/>
    <x v="0"/>
    <n v="5972.3779999999997"/>
  </r>
  <r>
    <x v="6"/>
    <x v="0"/>
    <n v="30.2"/>
    <x v="1"/>
    <n v="2"/>
    <x v="1"/>
    <x v="0"/>
    <n v="8825.0859999999993"/>
  </r>
  <r>
    <x v="6"/>
    <x v="0"/>
    <n v="28.05"/>
    <x v="0"/>
    <n v="1"/>
    <x v="1"/>
    <x v="1"/>
    <n v="8233.0974999999999"/>
  </r>
  <r>
    <x v="31"/>
    <x v="1"/>
    <n v="31.35"/>
    <x v="1"/>
    <n v="0"/>
    <x v="1"/>
    <x v="1"/>
    <n v="27346.04207"/>
  </r>
  <r>
    <x v="16"/>
    <x v="0"/>
    <n v="38"/>
    <x v="1"/>
    <n v="3"/>
    <x v="1"/>
    <x v="0"/>
    <n v="6196.4480000000003"/>
  </r>
  <r>
    <x v="34"/>
    <x v="0"/>
    <n v="31.79"/>
    <x v="1"/>
    <n v="2"/>
    <x v="1"/>
    <x v="1"/>
    <n v="3056.3881000000001"/>
  </r>
  <r>
    <x v="18"/>
    <x v="0"/>
    <n v="36.299999999999997"/>
    <x v="1"/>
    <n v="0"/>
    <x v="1"/>
    <x v="1"/>
    <n v="13887.204"/>
  </r>
  <r>
    <x v="40"/>
    <x v="0"/>
    <n v="47.41"/>
    <x v="1"/>
    <n v="0"/>
    <x v="0"/>
    <x v="1"/>
    <n v="63770.428010000003"/>
  </r>
  <r>
    <x v="40"/>
    <x v="1"/>
    <n v="30.21"/>
    <x v="1"/>
    <n v="0"/>
    <x v="1"/>
    <x v="2"/>
    <n v="10231.499900000001"/>
  </r>
  <r>
    <x v="41"/>
    <x v="1"/>
    <n v="25.84"/>
    <x v="0"/>
    <n v="2"/>
    <x v="0"/>
    <x v="2"/>
    <n v="23807.240600000001"/>
  </r>
  <r>
    <x v="2"/>
    <x v="1"/>
    <n v="35.435000000000002"/>
    <x v="1"/>
    <n v="0"/>
    <x v="1"/>
    <x v="3"/>
    <n v="3268.84665"/>
  </r>
  <r>
    <x v="40"/>
    <x v="0"/>
    <n v="46.7"/>
    <x v="1"/>
    <n v="2"/>
    <x v="1"/>
    <x v="0"/>
    <n v="11538.421"/>
  </r>
  <r>
    <x v="9"/>
    <x v="0"/>
    <n v="28.594999999999999"/>
    <x v="0"/>
    <n v="0"/>
    <x v="1"/>
    <x v="3"/>
    <n v="3213.6220499999999"/>
  </r>
  <r>
    <x v="32"/>
    <x v="0"/>
    <n v="46.2"/>
    <x v="1"/>
    <n v="0"/>
    <x v="0"/>
    <x v="1"/>
    <n v="45863.205000000002"/>
  </r>
  <r>
    <x v="18"/>
    <x v="1"/>
    <n v="30.8"/>
    <x v="1"/>
    <n v="0"/>
    <x v="1"/>
    <x v="0"/>
    <n v="13390.558999999999"/>
  </r>
  <r>
    <x v="4"/>
    <x v="0"/>
    <n v="28.93"/>
    <x v="0"/>
    <n v="0"/>
    <x v="1"/>
    <x v="1"/>
    <n v="3972.9247"/>
  </r>
  <r>
    <x v="10"/>
    <x v="1"/>
    <n v="21.4"/>
    <x v="2"/>
    <n v="0"/>
    <x v="1"/>
    <x v="0"/>
    <n v="12957.118"/>
  </r>
  <r>
    <x v="14"/>
    <x v="0"/>
    <n v="31.73"/>
    <x v="1"/>
    <n v="2"/>
    <x v="1"/>
    <x v="2"/>
    <n v="11187.6567"/>
  </r>
  <r>
    <x v="9"/>
    <x v="0"/>
    <n v="41.325000000000003"/>
    <x v="1"/>
    <n v="0"/>
    <x v="1"/>
    <x v="3"/>
    <n v="17878.900679999999"/>
  </r>
  <r>
    <x v="2"/>
    <x v="1"/>
    <n v="23.8"/>
    <x v="2"/>
    <n v="2"/>
    <x v="1"/>
    <x v="0"/>
    <n v="3847.674"/>
  </r>
  <r>
    <x v="6"/>
    <x v="1"/>
    <n v="33.44"/>
    <x v="1"/>
    <n v="1"/>
    <x v="1"/>
    <x v="3"/>
    <n v="8334.5895999999993"/>
  </r>
  <r>
    <x v="16"/>
    <x v="1"/>
    <n v="34.21"/>
    <x v="1"/>
    <n v="0"/>
    <x v="1"/>
    <x v="1"/>
    <n v="3935.1799000000001"/>
  </r>
  <r>
    <x v="22"/>
    <x v="0"/>
    <n v="34.104999999999997"/>
    <x v="1"/>
    <n v="3"/>
    <x v="0"/>
    <x v="2"/>
    <n v="39983.425949999997"/>
  </r>
  <r>
    <x v="0"/>
    <x v="1"/>
    <n v="35.53"/>
    <x v="1"/>
    <n v="0"/>
    <x v="1"/>
    <x v="2"/>
    <n v="1646.4296999999999"/>
  </r>
  <r>
    <x v="6"/>
    <x v="0"/>
    <n v="19.95"/>
    <x v="2"/>
    <n v="2"/>
    <x v="1"/>
    <x v="2"/>
    <n v="9193.8384999999998"/>
  </r>
  <r>
    <x v="40"/>
    <x v="0"/>
    <n v="32.68"/>
    <x v="1"/>
    <n v="0"/>
    <x v="1"/>
    <x v="3"/>
    <n v="10923.933199999999"/>
  </r>
  <r>
    <x v="13"/>
    <x v="1"/>
    <n v="30.5"/>
    <x v="1"/>
    <n v="0"/>
    <x v="1"/>
    <x v="0"/>
    <n v="2494.0219999999999"/>
  </r>
  <r>
    <x v="45"/>
    <x v="1"/>
    <n v="44.77"/>
    <x v="1"/>
    <n v="1"/>
    <x v="1"/>
    <x v="1"/>
    <n v="9058.7302999999993"/>
  </r>
  <r>
    <x v="1"/>
    <x v="0"/>
    <n v="32.119999999999997"/>
    <x v="1"/>
    <n v="2"/>
    <x v="1"/>
    <x v="1"/>
    <n v="2801.2588000000001"/>
  </r>
  <r>
    <x v="0"/>
    <x v="0"/>
    <n v="30.495000000000001"/>
    <x v="1"/>
    <n v="0"/>
    <x v="1"/>
    <x v="2"/>
    <n v="2128.4310500000001"/>
  </r>
  <r>
    <x v="25"/>
    <x v="0"/>
    <n v="40.564999999999998"/>
    <x v="1"/>
    <n v="1"/>
    <x v="1"/>
    <x v="2"/>
    <n v="6373.55735"/>
  </r>
  <r>
    <x v="24"/>
    <x v="1"/>
    <n v="30.59"/>
    <x v="1"/>
    <n v="2"/>
    <x v="1"/>
    <x v="2"/>
    <n v="7256.7231000000002"/>
  </r>
  <r>
    <x v="41"/>
    <x v="0"/>
    <n v="31.9"/>
    <x v="1"/>
    <n v="5"/>
    <x v="1"/>
    <x v="0"/>
    <n v="11552.904"/>
  </r>
  <r>
    <x v="28"/>
    <x v="1"/>
    <n v="40.564999999999998"/>
    <x v="1"/>
    <n v="2"/>
    <x v="0"/>
    <x v="2"/>
    <n v="45702.022349999999"/>
  </r>
  <r>
    <x v="5"/>
    <x v="0"/>
    <n v="29.1"/>
    <x v="0"/>
    <n v="0"/>
    <x v="1"/>
    <x v="0"/>
    <n v="3761.2919999999999"/>
  </r>
  <r>
    <x v="1"/>
    <x v="0"/>
    <n v="37.29"/>
    <x v="1"/>
    <n v="1"/>
    <x v="1"/>
    <x v="1"/>
    <n v="2219.4450999999999"/>
  </r>
  <r>
    <x v="15"/>
    <x v="0"/>
    <n v="43.12"/>
    <x v="1"/>
    <n v="2"/>
    <x v="1"/>
    <x v="1"/>
    <n v="4753.6368000000002"/>
  </r>
  <r>
    <x v="10"/>
    <x v="0"/>
    <n v="36.86"/>
    <x v="1"/>
    <n v="1"/>
    <x v="1"/>
    <x v="3"/>
    <n v="31620.001059999999"/>
  </r>
  <r>
    <x v="37"/>
    <x v="0"/>
    <n v="34.295000000000002"/>
    <x v="1"/>
    <n v="2"/>
    <x v="1"/>
    <x v="3"/>
    <n v="13224.057049999999"/>
  </r>
  <r>
    <x v="30"/>
    <x v="0"/>
    <n v="27.17"/>
    <x v="0"/>
    <n v="0"/>
    <x v="1"/>
    <x v="2"/>
    <n v="12222.898300000001"/>
  </r>
  <r>
    <x v="20"/>
    <x v="1"/>
    <n v="26.84"/>
    <x v="0"/>
    <n v="0"/>
    <x v="1"/>
    <x v="1"/>
    <n v="1664.9996000000001"/>
  </r>
  <r>
    <x v="5"/>
    <x v="0"/>
    <n v="38.094999999999999"/>
    <x v="1"/>
    <n v="1"/>
    <x v="0"/>
    <x v="3"/>
    <n v="58571.074480000003"/>
  </r>
  <r>
    <x v="14"/>
    <x v="1"/>
    <n v="30.2"/>
    <x v="1"/>
    <n v="1"/>
    <x v="1"/>
    <x v="0"/>
    <n v="9724.5300000000007"/>
  </r>
  <r>
    <x v="9"/>
    <x v="0"/>
    <n v="23.465"/>
    <x v="2"/>
    <n v="0"/>
    <x v="1"/>
    <x v="3"/>
    <n v="3206.4913499999998"/>
  </r>
  <r>
    <x v="17"/>
    <x v="1"/>
    <n v="25.46"/>
    <x v="0"/>
    <n v="1"/>
    <x v="1"/>
    <x v="3"/>
    <n v="12913.992399999999"/>
  </r>
  <r>
    <x v="0"/>
    <x v="1"/>
    <n v="30.59"/>
    <x v="1"/>
    <n v="0"/>
    <x v="1"/>
    <x v="2"/>
    <n v="1639.5631000000001"/>
  </r>
  <r>
    <x v="46"/>
    <x v="1"/>
    <n v="45.43"/>
    <x v="1"/>
    <n v="2"/>
    <x v="1"/>
    <x v="1"/>
    <n v="6356.2707"/>
  </r>
  <r>
    <x v="4"/>
    <x v="0"/>
    <n v="23.65"/>
    <x v="2"/>
    <n v="1"/>
    <x v="1"/>
    <x v="1"/>
    <n v="17626.239509999999"/>
  </r>
  <r>
    <x v="0"/>
    <x v="1"/>
    <n v="20.7"/>
    <x v="2"/>
    <n v="0"/>
    <x v="1"/>
    <x v="0"/>
    <n v="1242.816"/>
  </r>
  <r>
    <x v="3"/>
    <x v="0"/>
    <n v="28.27"/>
    <x v="0"/>
    <n v="1"/>
    <x v="1"/>
    <x v="1"/>
    <n v="4779.6022999999996"/>
  </r>
  <r>
    <x v="27"/>
    <x v="1"/>
    <n v="20.234999999999999"/>
    <x v="2"/>
    <n v="3"/>
    <x v="1"/>
    <x v="3"/>
    <n v="3861.2096499999998"/>
  </r>
  <r>
    <x v="16"/>
    <x v="0"/>
    <n v="30.21"/>
    <x v="1"/>
    <n v="1"/>
    <x v="0"/>
    <x v="2"/>
    <n v="43943.876100000001"/>
  </r>
  <r>
    <x v="35"/>
    <x v="0"/>
    <n v="35.909999999999997"/>
    <x v="1"/>
    <n v="0"/>
    <x v="1"/>
    <x v="3"/>
    <n v="13635.6379"/>
  </r>
  <r>
    <x v="25"/>
    <x v="0"/>
    <n v="30.69"/>
    <x v="1"/>
    <n v="1"/>
    <x v="1"/>
    <x v="1"/>
    <n v="5976.8311000000003"/>
  </r>
  <r>
    <x v="30"/>
    <x v="0"/>
    <n v="29"/>
    <x v="0"/>
    <n v="0"/>
    <x v="1"/>
    <x v="0"/>
    <n v="11842.441999999999"/>
  </r>
  <r>
    <x v="42"/>
    <x v="1"/>
    <n v="19.57"/>
    <x v="2"/>
    <n v="1"/>
    <x v="1"/>
    <x v="2"/>
    <n v="8428.0692999999992"/>
  </r>
  <r>
    <x v="34"/>
    <x v="1"/>
    <n v="31.13"/>
    <x v="1"/>
    <n v="2"/>
    <x v="1"/>
    <x v="1"/>
    <n v="2566.4706999999999"/>
  </r>
  <r>
    <x v="27"/>
    <x v="0"/>
    <n v="21.85"/>
    <x v="2"/>
    <n v="1"/>
    <x v="0"/>
    <x v="3"/>
    <n v="15359.104499999999"/>
  </r>
  <r>
    <x v="24"/>
    <x v="1"/>
    <n v="40.26"/>
    <x v="1"/>
    <n v="0"/>
    <x v="1"/>
    <x v="1"/>
    <n v="5709.1643999999997"/>
  </r>
  <r>
    <x v="6"/>
    <x v="0"/>
    <n v="33.725000000000001"/>
    <x v="1"/>
    <n v="1"/>
    <x v="1"/>
    <x v="3"/>
    <n v="8823.9857499999998"/>
  </r>
  <r>
    <x v="44"/>
    <x v="0"/>
    <n v="29.48"/>
    <x v="0"/>
    <n v="2"/>
    <x v="1"/>
    <x v="1"/>
    <n v="7640.3091999999997"/>
  </r>
  <r>
    <x v="16"/>
    <x v="0"/>
    <n v="33.25"/>
    <x v="1"/>
    <n v="1"/>
    <x v="1"/>
    <x v="3"/>
    <n v="5594.8455000000004"/>
  </r>
  <r>
    <x v="32"/>
    <x v="1"/>
    <n v="32.6"/>
    <x v="1"/>
    <n v="2"/>
    <x v="1"/>
    <x v="0"/>
    <n v="7441.5010000000002"/>
  </r>
  <r>
    <x v="14"/>
    <x v="0"/>
    <n v="37.524999999999999"/>
    <x v="1"/>
    <n v="2"/>
    <x v="1"/>
    <x v="2"/>
    <n v="33471.971890000001"/>
  </r>
  <r>
    <x v="1"/>
    <x v="0"/>
    <n v="39.159999999999997"/>
    <x v="1"/>
    <n v="0"/>
    <x v="1"/>
    <x v="1"/>
    <n v="1633.0444"/>
  </r>
  <r>
    <x v="43"/>
    <x v="1"/>
    <n v="31.635000000000002"/>
    <x v="1"/>
    <n v="0"/>
    <x v="1"/>
    <x v="2"/>
    <n v="9174.1356500000002"/>
  </r>
  <r>
    <x v="12"/>
    <x v="0"/>
    <n v="25.3"/>
    <x v="0"/>
    <n v="0"/>
    <x v="1"/>
    <x v="0"/>
    <n v="11070.535"/>
  </r>
  <r>
    <x v="33"/>
    <x v="0"/>
    <n v="39.049999999999997"/>
    <x v="1"/>
    <n v="3"/>
    <x v="1"/>
    <x v="1"/>
    <n v="16085.127500000001"/>
  </r>
  <r>
    <x v="0"/>
    <x v="0"/>
    <n v="28.31"/>
    <x v="0"/>
    <n v="0"/>
    <x v="0"/>
    <x v="2"/>
    <n v="17468.983899999999"/>
  </r>
  <r>
    <x v="43"/>
    <x v="0"/>
    <n v="34.1"/>
    <x v="1"/>
    <n v="0"/>
    <x v="1"/>
    <x v="1"/>
    <n v="9283.5619999999999"/>
  </r>
  <r>
    <x v="13"/>
    <x v="0"/>
    <n v="25.175000000000001"/>
    <x v="0"/>
    <n v="0"/>
    <x v="1"/>
    <x v="3"/>
    <n v="3558.6202499999999"/>
  </r>
  <r>
    <x v="17"/>
    <x v="0"/>
    <n v="23.655000000000001"/>
    <x v="2"/>
    <n v="0"/>
    <x v="0"/>
    <x v="2"/>
    <n v="25678.778450000002"/>
  </r>
  <r>
    <x v="2"/>
    <x v="1"/>
    <n v="26.98"/>
    <x v="0"/>
    <n v="2"/>
    <x v="1"/>
    <x v="3"/>
    <n v="4435.0941999999995"/>
  </r>
  <r>
    <x v="15"/>
    <x v="1"/>
    <n v="37.799999999999997"/>
    <x v="1"/>
    <n v="2"/>
    <x v="0"/>
    <x v="0"/>
    <n v="39241.442000000003"/>
  </r>
  <r>
    <x v="42"/>
    <x v="0"/>
    <n v="29.37"/>
    <x v="0"/>
    <n v="1"/>
    <x v="1"/>
    <x v="1"/>
    <n v="8547.6913000000004"/>
  </r>
  <r>
    <x v="25"/>
    <x v="0"/>
    <n v="34.799999999999997"/>
    <x v="1"/>
    <n v="2"/>
    <x v="1"/>
    <x v="0"/>
    <n v="6571.5439999999999"/>
  </r>
  <r>
    <x v="1"/>
    <x v="0"/>
    <n v="33.155000000000001"/>
    <x v="1"/>
    <n v="0"/>
    <x v="1"/>
    <x v="3"/>
    <n v="2207.6974500000001"/>
  </r>
  <r>
    <x v="16"/>
    <x v="0"/>
    <n v="19"/>
    <x v="2"/>
    <n v="3"/>
    <x v="1"/>
    <x v="3"/>
    <n v="6753.0379999999996"/>
  </r>
  <r>
    <x v="34"/>
    <x v="0"/>
    <n v="33"/>
    <x v="1"/>
    <n v="0"/>
    <x v="1"/>
    <x v="1"/>
    <n v="1880.07"/>
  </r>
  <r>
    <x v="42"/>
    <x v="0"/>
    <n v="36.630000000000003"/>
    <x v="1"/>
    <n v="1"/>
    <x v="0"/>
    <x v="1"/>
    <n v="42969.852700000003"/>
  </r>
  <r>
    <x v="12"/>
    <x v="0"/>
    <n v="28.594999999999999"/>
    <x v="0"/>
    <n v="0"/>
    <x v="1"/>
    <x v="3"/>
    <n v="11658.11505"/>
  </r>
  <r>
    <x v="41"/>
    <x v="1"/>
    <n v="25.6"/>
    <x v="0"/>
    <n v="2"/>
    <x v="0"/>
    <x v="0"/>
    <n v="23306.546999999999"/>
  </r>
  <r>
    <x v="0"/>
    <x v="0"/>
    <n v="33.11"/>
    <x v="1"/>
    <n v="0"/>
    <x v="0"/>
    <x v="1"/>
    <n v="34439.855900000002"/>
  </r>
  <r>
    <x v="19"/>
    <x v="0"/>
    <n v="37.1"/>
    <x v="1"/>
    <n v="0"/>
    <x v="1"/>
    <x v="0"/>
    <n v="10713.644"/>
  </r>
  <r>
    <x v="15"/>
    <x v="1"/>
    <n v="31.4"/>
    <x v="1"/>
    <n v="1"/>
    <x v="1"/>
    <x v="0"/>
    <n v="3659.346"/>
  </r>
  <r>
    <x v="7"/>
    <x v="1"/>
    <n v="34.1"/>
    <x v="1"/>
    <n v="4"/>
    <x v="0"/>
    <x v="0"/>
    <n v="40182.245999999999"/>
  </r>
  <r>
    <x v="41"/>
    <x v="0"/>
    <n v="21.3"/>
    <x v="2"/>
    <n v="1"/>
    <x v="1"/>
    <x v="0"/>
    <n v="9182.17"/>
  </r>
  <r>
    <x v="1"/>
    <x v="1"/>
    <n v="33.534999999999997"/>
    <x v="1"/>
    <n v="0"/>
    <x v="0"/>
    <x v="3"/>
    <n v="34617.840649999998"/>
  </r>
  <r>
    <x v="17"/>
    <x v="1"/>
    <n v="28.785"/>
    <x v="0"/>
    <n v="0"/>
    <x v="1"/>
    <x v="2"/>
    <n v="12129.614149999999"/>
  </r>
  <r>
    <x v="38"/>
    <x v="0"/>
    <n v="26.03"/>
    <x v="0"/>
    <n v="0"/>
    <x v="1"/>
    <x v="2"/>
    <n v="3736.4647"/>
  </r>
  <r>
    <x v="26"/>
    <x v="1"/>
    <n v="28.88"/>
    <x v="0"/>
    <n v="3"/>
    <x v="1"/>
    <x v="3"/>
    <n v="6748.5911999999998"/>
  </r>
  <r>
    <x v="3"/>
    <x v="1"/>
    <n v="42.46"/>
    <x v="1"/>
    <n v="1"/>
    <x v="1"/>
    <x v="1"/>
    <n v="11326.71487"/>
  </r>
  <r>
    <x v="30"/>
    <x v="1"/>
    <n v="38"/>
    <x v="1"/>
    <n v="0"/>
    <x v="1"/>
    <x v="0"/>
    <n v="11365.951999999999"/>
  </r>
  <r>
    <x v="36"/>
    <x v="0"/>
    <n v="38.950000000000003"/>
    <x v="1"/>
    <n v="0"/>
    <x v="0"/>
    <x v="2"/>
    <n v="42983.458500000001"/>
  </r>
  <r>
    <x v="31"/>
    <x v="1"/>
    <n v="36.1"/>
    <x v="1"/>
    <n v="1"/>
    <x v="1"/>
    <x v="0"/>
    <n v="10085.846"/>
  </r>
  <r>
    <x v="23"/>
    <x v="1"/>
    <n v="29.3"/>
    <x v="0"/>
    <n v="0"/>
    <x v="1"/>
    <x v="0"/>
    <n v="1977.8150000000001"/>
  </r>
  <r>
    <x v="38"/>
    <x v="0"/>
    <n v="35.53"/>
    <x v="1"/>
    <n v="0"/>
    <x v="1"/>
    <x v="1"/>
    <n v="3366.6696999999999"/>
  </r>
  <r>
    <x v="29"/>
    <x v="1"/>
    <n v="22.704999999999998"/>
    <x v="2"/>
    <n v="2"/>
    <x v="1"/>
    <x v="3"/>
    <n v="7173.35995"/>
  </r>
  <r>
    <x v="43"/>
    <x v="1"/>
    <n v="39.700000000000003"/>
    <x v="1"/>
    <n v="1"/>
    <x v="1"/>
    <x v="0"/>
    <n v="9391.3459999999995"/>
  </r>
  <r>
    <x v="33"/>
    <x v="1"/>
    <n v="38.19"/>
    <x v="1"/>
    <n v="0"/>
    <x v="1"/>
    <x v="3"/>
    <n v="14410.9321"/>
  </r>
  <r>
    <x v="0"/>
    <x v="0"/>
    <n v="24.51"/>
    <x v="2"/>
    <n v="1"/>
    <x v="1"/>
    <x v="2"/>
    <n v="2709.1118999999999"/>
  </r>
  <r>
    <x v="22"/>
    <x v="0"/>
    <n v="38.094999999999999"/>
    <x v="1"/>
    <n v="2"/>
    <x v="1"/>
    <x v="3"/>
    <n v="24915.046259999999"/>
  </r>
  <r>
    <x v="46"/>
    <x v="1"/>
    <n v="26.41"/>
    <x v="0"/>
    <n v="0"/>
    <x v="0"/>
    <x v="3"/>
    <n v="20149.322899999999"/>
  </r>
  <r>
    <x v="12"/>
    <x v="1"/>
    <n v="33.659999999999997"/>
    <x v="1"/>
    <n v="4"/>
    <x v="1"/>
    <x v="1"/>
    <n v="12949.1554"/>
  </r>
  <r>
    <x v="3"/>
    <x v="1"/>
    <n v="42.4"/>
    <x v="1"/>
    <n v="5"/>
    <x v="1"/>
    <x v="0"/>
    <n v="6666.2430000000004"/>
  </r>
  <r>
    <x v="44"/>
    <x v="1"/>
    <n v="28.31"/>
    <x v="0"/>
    <n v="3"/>
    <x v="0"/>
    <x v="2"/>
    <n v="32787.458590000002"/>
  </r>
  <r>
    <x v="35"/>
    <x v="1"/>
    <n v="33.914999999999999"/>
    <x v="1"/>
    <n v="0"/>
    <x v="1"/>
    <x v="3"/>
    <n v="13143.86485"/>
  </r>
  <r>
    <x v="11"/>
    <x v="0"/>
    <n v="34.96"/>
    <x v="1"/>
    <n v="3"/>
    <x v="1"/>
    <x v="2"/>
    <n v="4466.6214"/>
  </r>
  <r>
    <x v="32"/>
    <x v="1"/>
    <n v="35.31"/>
    <x v="1"/>
    <n v="2"/>
    <x v="1"/>
    <x v="1"/>
    <n v="18806.145469999999"/>
  </r>
  <r>
    <x v="28"/>
    <x v="1"/>
    <n v="30.78"/>
    <x v="1"/>
    <n v="3"/>
    <x v="1"/>
    <x v="3"/>
    <n v="10141.136200000001"/>
  </r>
  <r>
    <x v="46"/>
    <x v="1"/>
    <n v="26.22"/>
    <x v="0"/>
    <n v="1"/>
    <x v="1"/>
    <x v="2"/>
    <n v="6123.5688"/>
  </r>
  <r>
    <x v="29"/>
    <x v="0"/>
    <n v="23.37"/>
    <x v="2"/>
    <n v="3"/>
    <x v="1"/>
    <x v="3"/>
    <n v="8252.2842999999993"/>
  </r>
  <r>
    <x v="1"/>
    <x v="1"/>
    <n v="28.5"/>
    <x v="0"/>
    <n v="0"/>
    <x v="1"/>
    <x v="3"/>
    <n v="1712.2270000000001"/>
  </r>
  <r>
    <x v="30"/>
    <x v="0"/>
    <n v="32.965000000000003"/>
    <x v="1"/>
    <n v="0"/>
    <x v="1"/>
    <x v="3"/>
    <n v="12430.95335"/>
  </r>
  <r>
    <x v="41"/>
    <x v="0"/>
    <n v="42.68"/>
    <x v="1"/>
    <n v="2"/>
    <x v="1"/>
    <x v="1"/>
    <n v="9800.8881999999994"/>
  </r>
  <r>
    <x v="31"/>
    <x v="0"/>
    <n v="39.6"/>
    <x v="1"/>
    <n v="1"/>
    <x v="1"/>
    <x v="1"/>
    <n v="10579.710999999999"/>
  </r>
  <r>
    <x v="28"/>
    <x v="0"/>
    <n v="31.13"/>
    <x v="1"/>
    <n v="0"/>
    <x v="1"/>
    <x v="1"/>
    <n v="8280.6226999999999"/>
  </r>
  <r>
    <x v="39"/>
    <x v="0"/>
    <n v="36.299999999999997"/>
    <x v="1"/>
    <n v="2"/>
    <x v="1"/>
    <x v="1"/>
    <n v="8527.5319999999992"/>
  </r>
  <r>
    <x v="17"/>
    <x v="0"/>
    <n v="35.200000000000003"/>
    <x v="1"/>
    <n v="0"/>
    <x v="1"/>
    <x v="1"/>
    <n v="12244.531000000001"/>
  </r>
  <r>
    <x v="14"/>
    <x v="0"/>
    <n v="25.3"/>
    <x v="0"/>
    <n v="2"/>
    <x v="0"/>
    <x v="1"/>
    <n v="24667.419000000002"/>
  </r>
  <r>
    <x v="21"/>
    <x v="0"/>
    <n v="42.4"/>
    <x v="1"/>
    <n v="1"/>
    <x v="1"/>
    <x v="0"/>
    <n v="3410.3240000000001"/>
  </r>
  <r>
    <x v="13"/>
    <x v="1"/>
    <n v="33.155000000000001"/>
    <x v="1"/>
    <n v="2"/>
    <x v="1"/>
    <x v="2"/>
    <n v="4058.71245"/>
  </r>
  <r>
    <x v="28"/>
    <x v="0"/>
    <n v="35.909999999999997"/>
    <x v="1"/>
    <n v="1"/>
    <x v="1"/>
    <x v="3"/>
    <n v="26392.260289999998"/>
  </r>
  <r>
    <x v="37"/>
    <x v="0"/>
    <n v="28.785"/>
    <x v="0"/>
    <n v="4"/>
    <x v="1"/>
    <x v="3"/>
    <n v="14394.398150000001"/>
  </r>
  <r>
    <x v="7"/>
    <x v="1"/>
    <n v="46.53"/>
    <x v="1"/>
    <n v="3"/>
    <x v="1"/>
    <x v="1"/>
    <n v="6435.6237000000001"/>
  </r>
  <r>
    <x v="37"/>
    <x v="0"/>
    <n v="23.98"/>
    <x v="2"/>
    <n v="1"/>
    <x v="1"/>
    <x v="1"/>
    <n v="22192.437109999999"/>
  </r>
  <r>
    <x v="4"/>
    <x v="0"/>
    <n v="31.54"/>
    <x v="1"/>
    <n v="1"/>
    <x v="1"/>
    <x v="3"/>
    <n v="5148.5526"/>
  </r>
  <r>
    <x v="1"/>
    <x v="1"/>
    <n v="33.659999999999997"/>
    <x v="1"/>
    <n v="0"/>
    <x v="1"/>
    <x v="1"/>
    <n v="1136.3994"/>
  </r>
  <r>
    <x v="33"/>
    <x v="0"/>
    <n v="22.99"/>
    <x v="2"/>
    <n v="0"/>
    <x v="0"/>
    <x v="1"/>
    <n v="27037.914100000002"/>
  </r>
  <r>
    <x v="32"/>
    <x v="1"/>
    <n v="38.06"/>
    <x v="1"/>
    <n v="2"/>
    <x v="0"/>
    <x v="1"/>
    <n v="42560.430399999997"/>
  </r>
  <r>
    <x v="41"/>
    <x v="1"/>
    <n v="28.7"/>
    <x v="0"/>
    <n v="1"/>
    <x v="1"/>
    <x v="0"/>
    <n v="8703.4560000000001"/>
  </r>
  <r>
    <x v="29"/>
    <x v="0"/>
    <n v="32.774999999999999"/>
    <x v="1"/>
    <n v="2"/>
    <x v="0"/>
    <x v="2"/>
    <n v="40003.332249999999"/>
  </r>
  <r>
    <x v="10"/>
    <x v="1"/>
    <n v="32.015000000000001"/>
    <x v="1"/>
    <n v="0"/>
    <x v="0"/>
    <x v="3"/>
    <n v="45710.207849999999"/>
  </r>
  <r>
    <x v="29"/>
    <x v="0"/>
    <n v="29.81"/>
    <x v="0"/>
    <n v="1"/>
    <x v="1"/>
    <x v="1"/>
    <n v="6500.2358999999997"/>
  </r>
  <r>
    <x v="15"/>
    <x v="1"/>
    <n v="31.57"/>
    <x v="1"/>
    <n v="3"/>
    <x v="1"/>
    <x v="1"/>
    <n v="4837.5823"/>
  </r>
  <r>
    <x v="38"/>
    <x v="0"/>
    <n v="31.16"/>
    <x v="1"/>
    <n v="0"/>
    <x v="1"/>
    <x v="3"/>
    <n v="3943.5954000000002"/>
  </r>
  <r>
    <x v="26"/>
    <x v="1"/>
    <n v="29.7"/>
    <x v="0"/>
    <n v="0"/>
    <x v="1"/>
    <x v="1"/>
    <n v="4399.7309999999998"/>
  </r>
  <r>
    <x v="24"/>
    <x v="0"/>
    <n v="31.02"/>
    <x v="1"/>
    <n v="0"/>
    <x v="1"/>
    <x v="1"/>
    <n v="6185.3208000000004"/>
  </r>
  <r>
    <x v="36"/>
    <x v="0"/>
    <n v="43.89"/>
    <x v="1"/>
    <n v="2"/>
    <x v="0"/>
    <x v="1"/>
    <n v="46200.985099999998"/>
  </r>
  <r>
    <x v="39"/>
    <x v="1"/>
    <n v="21.375"/>
    <x v="2"/>
    <n v="0"/>
    <x v="1"/>
    <x v="2"/>
    <n v="7222.7862500000001"/>
  </r>
  <r>
    <x v="19"/>
    <x v="0"/>
    <n v="40.81"/>
    <x v="1"/>
    <n v="3"/>
    <x v="1"/>
    <x v="1"/>
    <n v="12485.8009"/>
  </r>
  <r>
    <x v="8"/>
    <x v="1"/>
    <n v="31.35"/>
    <x v="1"/>
    <n v="3"/>
    <x v="0"/>
    <x v="2"/>
    <n v="46130.5265"/>
  </r>
  <r>
    <x v="12"/>
    <x v="1"/>
    <n v="36.1"/>
    <x v="1"/>
    <n v="3"/>
    <x v="1"/>
    <x v="0"/>
    <n v="12363.547"/>
  </r>
  <r>
    <x v="41"/>
    <x v="0"/>
    <n v="23.18"/>
    <x v="2"/>
    <n v="2"/>
    <x v="1"/>
    <x v="2"/>
    <n v="10156.7832"/>
  </r>
  <r>
    <x v="27"/>
    <x v="0"/>
    <n v="17.399999999999999"/>
    <x v="3"/>
    <n v="1"/>
    <x v="1"/>
    <x v="0"/>
    <n v="2585.2689999999998"/>
  </r>
  <r>
    <x v="0"/>
    <x v="1"/>
    <n v="20.3"/>
    <x v="2"/>
    <n v="0"/>
    <x v="1"/>
    <x v="0"/>
    <n v="1242.26"/>
  </r>
  <r>
    <x v="46"/>
    <x v="1"/>
    <n v="35.299999999999997"/>
    <x v="1"/>
    <n v="2"/>
    <x v="0"/>
    <x v="0"/>
    <n v="40103.89"/>
  </r>
  <r>
    <x v="31"/>
    <x v="1"/>
    <n v="24.32"/>
    <x v="2"/>
    <n v="0"/>
    <x v="1"/>
    <x v="2"/>
    <n v="9863.4717999999993"/>
  </r>
  <r>
    <x v="3"/>
    <x v="0"/>
    <n v="18.5"/>
    <x v="2"/>
    <n v="1"/>
    <x v="1"/>
    <x v="0"/>
    <n v="4766.0219999999999"/>
  </r>
  <r>
    <x v="31"/>
    <x v="1"/>
    <n v="26.41"/>
    <x v="0"/>
    <n v="2"/>
    <x v="1"/>
    <x v="3"/>
    <n v="11244.376899999999"/>
  </r>
  <r>
    <x v="44"/>
    <x v="1"/>
    <n v="26.125"/>
    <x v="0"/>
    <n v="2"/>
    <x v="1"/>
    <x v="3"/>
    <n v="7729.6457499999997"/>
  </r>
  <r>
    <x v="29"/>
    <x v="1"/>
    <n v="41.69"/>
    <x v="1"/>
    <n v="0"/>
    <x v="1"/>
    <x v="1"/>
    <n v="5438.7491"/>
  </r>
  <r>
    <x v="42"/>
    <x v="0"/>
    <n v="24.1"/>
    <x v="2"/>
    <n v="1"/>
    <x v="1"/>
    <x v="0"/>
    <n v="26236.579969999999"/>
  </r>
  <r>
    <x v="13"/>
    <x v="1"/>
    <n v="31.13"/>
    <x v="1"/>
    <n v="1"/>
    <x v="0"/>
    <x v="1"/>
    <n v="34806.467700000001"/>
  </r>
  <r>
    <x v="27"/>
    <x v="1"/>
    <n v="27.36"/>
    <x v="0"/>
    <n v="0"/>
    <x v="1"/>
    <x v="3"/>
    <n v="2104.1134000000002"/>
  </r>
  <r>
    <x v="42"/>
    <x v="1"/>
    <n v="36.200000000000003"/>
    <x v="1"/>
    <n v="1"/>
    <x v="1"/>
    <x v="0"/>
    <n v="8068.1850000000004"/>
  </r>
  <r>
    <x v="34"/>
    <x v="1"/>
    <n v="32.395000000000003"/>
    <x v="1"/>
    <n v="1"/>
    <x v="1"/>
    <x v="2"/>
    <n v="2362.2290499999999"/>
  </r>
  <r>
    <x v="23"/>
    <x v="1"/>
    <n v="23.655000000000001"/>
    <x v="2"/>
    <n v="0"/>
    <x v="1"/>
    <x v="2"/>
    <n v="2352.9684499999998"/>
  </r>
  <r>
    <x v="13"/>
    <x v="0"/>
    <n v="34.799999999999997"/>
    <x v="1"/>
    <n v="1"/>
    <x v="1"/>
    <x v="0"/>
    <n v="3577.9989999999998"/>
  </r>
  <r>
    <x v="21"/>
    <x v="0"/>
    <n v="40.185000000000002"/>
    <x v="1"/>
    <n v="0"/>
    <x v="1"/>
    <x v="2"/>
    <n v="3201.2451500000002"/>
  </r>
  <r>
    <x v="31"/>
    <x v="0"/>
    <n v="32.299999999999997"/>
    <x v="1"/>
    <n v="2"/>
    <x v="1"/>
    <x v="3"/>
    <n v="29186.482360000002"/>
  </r>
  <r>
    <x v="24"/>
    <x v="1"/>
    <n v="35.75"/>
    <x v="1"/>
    <n v="1"/>
    <x v="0"/>
    <x v="1"/>
    <n v="40273.645499999999"/>
  </r>
  <r>
    <x v="12"/>
    <x v="1"/>
    <n v="33.725000000000001"/>
    <x v="1"/>
    <n v="0"/>
    <x v="1"/>
    <x v="2"/>
    <n v="10976.24575"/>
  </r>
  <r>
    <x v="11"/>
    <x v="0"/>
    <n v="39.270000000000003"/>
    <x v="1"/>
    <n v="2"/>
    <x v="1"/>
    <x v="1"/>
    <n v="3500.6122999999998"/>
  </r>
  <r>
    <x v="27"/>
    <x v="0"/>
    <n v="34.869999999999997"/>
    <x v="1"/>
    <n v="0"/>
    <x v="1"/>
    <x v="1"/>
    <n v="2020.5523000000001"/>
  </r>
  <r>
    <x v="45"/>
    <x v="0"/>
    <n v="44.744999999999997"/>
    <x v="1"/>
    <n v="0"/>
    <x v="1"/>
    <x v="3"/>
    <n v="9541.6955500000004"/>
  </r>
  <r>
    <x v="31"/>
    <x v="1"/>
    <n v="41.47"/>
    <x v="1"/>
    <n v="0"/>
    <x v="1"/>
    <x v="1"/>
    <n v="9504.3102999999992"/>
  </r>
  <r>
    <x v="16"/>
    <x v="0"/>
    <n v="26.41"/>
    <x v="0"/>
    <n v="1"/>
    <x v="1"/>
    <x v="2"/>
    <n v="5385.3379000000004"/>
  </r>
  <r>
    <x v="42"/>
    <x v="0"/>
    <n v="29.545000000000002"/>
    <x v="0"/>
    <n v="1"/>
    <x v="1"/>
    <x v="2"/>
    <n v="8930.9345499999999"/>
  </r>
  <r>
    <x v="3"/>
    <x v="0"/>
    <n v="32.9"/>
    <x v="1"/>
    <n v="2"/>
    <x v="1"/>
    <x v="0"/>
    <n v="5375.0379999999996"/>
  </r>
  <r>
    <x v="43"/>
    <x v="0"/>
    <n v="38.06"/>
    <x v="1"/>
    <n v="0"/>
    <x v="0"/>
    <x v="1"/>
    <n v="44400.4064"/>
  </r>
  <r>
    <x v="41"/>
    <x v="1"/>
    <n v="28.69"/>
    <x v="0"/>
    <n v="3"/>
    <x v="1"/>
    <x v="2"/>
    <n v="10264.4421"/>
  </r>
  <r>
    <x v="5"/>
    <x v="0"/>
    <n v="30.495000000000001"/>
    <x v="1"/>
    <n v="3"/>
    <x v="1"/>
    <x v="3"/>
    <n v="6113.2310500000003"/>
  </r>
  <r>
    <x v="26"/>
    <x v="0"/>
    <n v="27.74"/>
    <x v="0"/>
    <n v="0"/>
    <x v="1"/>
    <x v="3"/>
    <n v="5469.0065999999997"/>
  </r>
  <r>
    <x v="1"/>
    <x v="1"/>
    <n v="35.200000000000003"/>
    <x v="1"/>
    <n v="1"/>
    <x v="1"/>
    <x v="1"/>
    <n v="1727.54"/>
  </r>
  <r>
    <x v="45"/>
    <x v="0"/>
    <n v="23.54"/>
    <x v="2"/>
    <n v="2"/>
    <x v="1"/>
    <x v="1"/>
    <n v="10107.220600000001"/>
  </r>
  <r>
    <x v="32"/>
    <x v="0"/>
    <n v="30.684999999999999"/>
    <x v="1"/>
    <n v="2"/>
    <x v="1"/>
    <x v="2"/>
    <n v="8310.8391499999998"/>
  </r>
  <r>
    <x v="34"/>
    <x v="1"/>
    <n v="40.47"/>
    <x v="1"/>
    <n v="0"/>
    <x v="1"/>
    <x v="3"/>
    <n v="1984.4532999999999"/>
  </r>
  <r>
    <x v="23"/>
    <x v="0"/>
    <n v="22.6"/>
    <x v="2"/>
    <n v="0"/>
    <x v="1"/>
    <x v="0"/>
    <n v="2457.502"/>
  </r>
  <r>
    <x v="8"/>
    <x v="1"/>
    <n v="28.9"/>
    <x v="0"/>
    <n v="0"/>
    <x v="1"/>
    <x v="0"/>
    <n v="12146.971"/>
  </r>
  <r>
    <x v="41"/>
    <x v="0"/>
    <n v="22.61"/>
    <x v="2"/>
    <n v="1"/>
    <x v="1"/>
    <x v="2"/>
    <n v="9566.9909000000007"/>
  </r>
  <r>
    <x v="8"/>
    <x v="1"/>
    <n v="24.32"/>
    <x v="2"/>
    <n v="1"/>
    <x v="1"/>
    <x v="2"/>
    <n v="13112.604799999999"/>
  </r>
  <r>
    <x v="43"/>
    <x v="0"/>
    <n v="36.67"/>
    <x v="1"/>
    <n v="2"/>
    <x v="1"/>
    <x v="2"/>
    <n v="10848.1343"/>
  </r>
  <r>
    <x v="30"/>
    <x v="0"/>
    <n v="33.44"/>
    <x v="1"/>
    <n v="0"/>
    <x v="1"/>
    <x v="2"/>
    <n v="12231.613600000001"/>
  </r>
  <r>
    <x v="43"/>
    <x v="0"/>
    <n v="40.659999999999997"/>
    <x v="1"/>
    <n v="0"/>
    <x v="1"/>
    <x v="3"/>
    <n v="9875.6803999999993"/>
  </r>
  <r>
    <x v="31"/>
    <x v="1"/>
    <n v="36.6"/>
    <x v="1"/>
    <n v="3"/>
    <x v="1"/>
    <x v="0"/>
    <n v="11264.540999999999"/>
  </r>
  <r>
    <x v="10"/>
    <x v="1"/>
    <n v="37.4"/>
    <x v="1"/>
    <n v="0"/>
    <x v="1"/>
    <x v="0"/>
    <n v="12979.358"/>
  </r>
  <r>
    <x v="0"/>
    <x v="1"/>
    <n v="35.4"/>
    <x v="1"/>
    <n v="0"/>
    <x v="1"/>
    <x v="0"/>
    <n v="1263.249"/>
  </r>
  <r>
    <x v="45"/>
    <x v="0"/>
    <n v="27.074999999999999"/>
    <x v="0"/>
    <n v="1"/>
    <x v="1"/>
    <x v="3"/>
    <n v="10106.134249999999"/>
  </r>
  <r>
    <x v="15"/>
    <x v="0"/>
    <n v="39.049999999999997"/>
    <x v="1"/>
    <n v="3"/>
    <x v="0"/>
    <x v="1"/>
    <n v="40932.429499999998"/>
  </r>
  <r>
    <x v="24"/>
    <x v="1"/>
    <n v="28.405000000000001"/>
    <x v="0"/>
    <n v="1"/>
    <x v="1"/>
    <x v="2"/>
    <n v="6664.68595"/>
  </r>
  <r>
    <x v="38"/>
    <x v="0"/>
    <n v="21.754999999999999"/>
    <x v="2"/>
    <n v="1"/>
    <x v="0"/>
    <x v="3"/>
    <n v="16657.71745"/>
  </r>
  <r>
    <x v="1"/>
    <x v="0"/>
    <n v="40.28"/>
    <x v="1"/>
    <n v="0"/>
    <x v="1"/>
    <x v="3"/>
    <n v="2217.6012000000001"/>
  </r>
  <r>
    <x v="24"/>
    <x v="0"/>
    <n v="36.08"/>
    <x v="1"/>
    <n v="1"/>
    <x v="1"/>
    <x v="1"/>
    <n v="6781.3541999999998"/>
  </r>
  <r>
    <x v="22"/>
    <x v="1"/>
    <n v="24.42"/>
    <x v="2"/>
    <n v="3"/>
    <x v="0"/>
    <x v="1"/>
    <n v="19361.998800000001"/>
  </r>
  <r>
    <x v="31"/>
    <x v="1"/>
    <n v="21.4"/>
    <x v="2"/>
    <n v="1"/>
    <x v="1"/>
    <x v="0"/>
    <n v="10065.413"/>
  </r>
  <r>
    <x v="23"/>
    <x v="0"/>
    <n v="30.1"/>
    <x v="1"/>
    <n v="3"/>
    <x v="1"/>
    <x v="0"/>
    <n v="4234.9269999999997"/>
  </r>
  <r>
    <x v="28"/>
    <x v="0"/>
    <n v="27.265000000000001"/>
    <x v="0"/>
    <n v="1"/>
    <x v="1"/>
    <x v="3"/>
    <n v="9447.2503500000003"/>
  </r>
  <r>
    <x v="17"/>
    <x v="0"/>
    <n v="32.1"/>
    <x v="1"/>
    <n v="3"/>
    <x v="1"/>
    <x v="0"/>
    <n v="14007.222"/>
  </r>
  <r>
    <x v="41"/>
    <x v="0"/>
    <n v="34.770000000000003"/>
    <x v="1"/>
    <n v="1"/>
    <x v="1"/>
    <x v="2"/>
    <n v="9583.8932999999997"/>
  </r>
  <r>
    <x v="7"/>
    <x v="0"/>
    <n v="38.39"/>
    <x v="1"/>
    <n v="0"/>
    <x v="0"/>
    <x v="1"/>
    <n v="40419.019099999998"/>
  </r>
  <r>
    <x v="21"/>
    <x v="1"/>
    <n v="23.7"/>
    <x v="2"/>
    <n v="2"/>
    <x v="1"/>
    <x v="0"/>
    <n v="3484.3310000000001"/>
  </r>
  <r>
    <x v="11"/>
    <x v="1"/>
    <n v="31.73"/>
    <x v="1"/>
    <n v="3"/>
    <x v="0"/>
    <x v="3"/>
    <n v="36189.101699999999"/>
  </r>
  <r>
    <x v="38"/>
    <x v="1"/>
    <n v="35.5"/>
    <x v="1"/>
    <n v="2"/>
    <x v="0"/>
    <x v="0"/>
    <n v="44585.455869999998"/>
  </r>
  <r>
    <x v="39"/>
    <x v="1"/>
    <n v="24.035"/>
    <x v="2"/>
    <n v="2"/>
    <x v="1"/>
    <x v="3"/>
    <n v="8604.4836500000001"/>
  </r>
  <r>
    <x v="13"/>
    <x v="1"/>
    <n v="29.15"/>
    <x v="0"/>
    <n v="0"/>
    <x v="0"/>
    <x v="1"/>
    <n v="18246.495500000001"/>
  </r>
  <r>
    <x v="31"/>
    <x v="1"/>
    <n v="34.104999999999997"/>
    <x v="1"/>
    <n v="0"/>
    <x v="0"/>
    <x v="3"/>
    <n v="43254.417950000003"/>
  </r>
  <r>
    <x v="5"/>
    <x v="0"/>
    <n v="26.62"/>
    <x v="0"/>
    <n v="0"/>
    <x v="1"/>
    <x v="1"/>
    <n v="3757.8447999999999"/>
  </r>
  <r>
    <x v="45"/>
    <x v="1"/>
    <n v="26.41"/>
    <x v="0"/>
    <n v="0"/>
    <x v="1"/>
    <x v="2"/>
    <n v="8827.2098999999998"/>
  </r>
  <r>
    <x v="45"/>
    <x v="0"/>
    <n v="30.114999999999998"/>
    <x v="1"/>
    <n v="1"/>
    <x v="1"/>
    <x v="2"/>
    <n v="9910.3598500000007"/>
  </r>
  <r>
    <x v="16"/>
    <x v="1"/>
    <n v="27"/>
    <x v="0"/>
    <n v="2"/>
    <x v="1"/>
    <x v="0"/>
    <n v="11737.848840000001"/>
  </r>
  <r>
    <x v="0"/>
    <x v="1"/>
    <n v="21.754999999999999"/>
    <x v="2"/>
    <n v="0"/>
    <x v="1"/>
    <x v="2"/>
    <n v="1627.2824499999999"/>
  </r>
  <r>
    <x v="42"/>
    <x v="0"/>
    <n v="36"/>
    <x v="1"/>
    <n v="1"/>
    <x v="1"/>
    <x v="0"/>
    <n v="8556.9069999999992"/>
  </r>
  <r>
    <x v="2"/>
    <x v="1"/>
    <n v="30.875"/>
    <x v="1"/>
    <n v="0"/>
    <x v="1"/>
    <x v="2"/>
    <n v="3062.5082499999999"/>
  </r>
  <r>
    <x v="7"/>
    <x v="0"/>
    <n v="26.4"/>
    <x v="0"/>
    <n v="0"/>
    <x v="0"/>
    <x v="1"/>
    <n v="19539.242999999999"/>
  </r>
  <r>
    <x v="27"/>
    <x v="1"/>
    <n v="28.975000000000001"/>
    <x v="0"/>
    <n v="0"/>
    <x v="1"/>
    <x v="2"/>
    <n v="1906.35825"/>
  </r>
  <r>
    <x v="33"/>
    <x v="1"/>
    <n v="37.905000000000001"/>
    <x v="1"/>
    <n v="0"/>
    <x v="1"/>
    <x v="2"/>
    <n v="14210.53595"/>
  </r>
  <r>
    <x v="30"/>
    <x v="0"/>
    <n v="22.77"/>
    <x v="2"/>
    <n v="0"/>
    <x v="1"/>
    <x v="1"/>
    <n v="11833.782300000001"/>
  </r>
  <r>
    <x v="23"/>
    <x v="1"/>
    <n v="33.630000000000003"/>
    <x v="1"/>
    <n v="4"/>
    <x v="1"/>
    <x v="3"/>
    <n v="17128.426080000001"/>
  </r>
  <r>
    <x v="5"/>
    <x v="1"/>
    <n v="27.645"/>
    <x v="0"/>
    <n v="2"/>
    <x v="1"/>
    <x v="3"/>
    <n v="5031.26955"/>
  </r>
  <r>
    <x v="46"/>
    <x v="0"/>
    <n v="22.8"/>
    <x v="2"/>
    <n v="3"/>
    <x v="1"/>
    <x v="3"/>
    <n v="7985.8149999999996"/>
  </r>
  <r>
    <x v="42"/>
    <x v="0"/>
    <n v="27.83"/>
    <x v="0"/>
    <n v="0"/>
    <x v="0"/>
    <x v="1"/>
    <n v="23065.420699999999"/>
  </r>
  <r>
    <x v="15"/>
    <x v="1"/>
    <n v="37.43"/>
    <x v="1"/>
    <n v="3"/>
    <x v="1"/>
    <x v="3"/>
    <n v="5428.7277000000004"/>
  </r>
  <r>
    <x v="1"/>
    <x v="1"/>
    <n v="38.17"/>
    <x v="1"/>
    <n v="0"/>
    <x v="0"/>
    <x v="1"/>
    <n v="36307.798300000002"/>
  </r>
  <r>
    <x v="20"/>
    <x v="0"/>
    <n v="34.58"/>
    <x v="1"/>
    <n v="2"/>
    <x v="1"/>
    <x v="3"/>
    <n v="3925.7582000000002"/>
  </r>
  <r>
    <x v="11"/>
    <x v="1"/>
    <n v="35.200000000000003"/>
    <x v="1"/>
    <n v="1"/>
    <x v="1"/>
    <x v="0"/>
    <n v="2416.9549999999999"/>
  </r>
  <r>
    <x v="3"/>
    <x v="1"/>
    <n v="27.1"/>
    <x v="0"/>
    <n v="1"/>
    <x v="0"/>
    <x v="0"/>
    <n v="19040.876"/>
  </r>
  <r>
    <x v="13"/>
    <x v="1"/>
    <n v="26.03"/>
    <x v="0"/>
    <n v="0"/>
    <x v="1"/>
    <x v="3"/>
    <n v="3070.8087"/>
  </r>
  <r>
    <x v="39"/>
    <x v="0"/>
    <n v="25.175000000000001"/>
    <x v="0"/>
    <n v="2"/>
    <x v="1"/>
    <x v="3"/>
    <n v="9095.0682500000003"/>
  </r>
  <r>
    <x v="37"/>
    <x v="0"/>
    <n v="31.824999999999999"/>
    <x v="1"/>
    <n v="0"/>
    <x v="1"/>
    <x v="2"/>
    <n v="11842.623750000001"/>
  </r>
  <r>
    <x v="42"/>
    <x v="1"/>
    <n v="32.299999999999997"/>
    <x v="1"/>
    <n v="1"/>
    <x v="1"/>
    <x v="0"/>
    <n v="8062.7640000000001"/>
  </r>
  <r>
    <x v="44"/>
    <x v="0"/>
    <n v="29"/>
    <x v="0"/>
    <n v="1"/>
    <x v="1"/>
    <x v="0"/>
    <n v="7050.6419999999998"/>
  </r>
  <r>
    <x v="33"/>
    <x v="0"/>
    <n v="39.700000000000003"/>
    <x v="1"/>
    <n v="0"/>
    <x v="1"/>
    <x v="0"/>
    <n v="14319.031000000001"/>
  </r>
  <r>
    <x v="25"/>
    <x v="0"/>
    <n v="19.475000000000001"/>
    <x v="2"/>
    <n v="2"/>
    <x v="1"/>
    <x v="2"/>
    <n v="6933.2422500000002"/>
  </r>
  <r>
    <x v="35"/>
    <x v="1"/>
    <n v="36.1"/>
    <x v="1"/>
    <n v="3"/>
    <x v="1"/>
    <x v="0"/>
    <n v="27941.28758"/>
  </r>
  <r>
    <x v="31"/>
    <x v="0"/>
    <n v="26.7"/>
    <x v="0"/>
    <n v="2"/>
    <x v="1"/>
    <x v="0"/>
    <n v="11150.78"/>
  </r>
  <r>
    <x v="36"/>
    <x v="0"/>
    <n v="36.479999999999997"/>
    <x v="1"/>
    <n v="0"/>
    <x v="1"/>
    <x v="3"/>
    <n v="12797.20962"/>
  </r>
  <r>
    <x v="0"/>
    <x v="0"/>
    <n v="28.88"/>
    <x v="0"/>
    <n v="0"/>
    <x v="0"/>
    <x v="2"/>
    <n v="17748.5062"/>
  </r>
  <r>
    <x v="24"/>
    <x v="1"/>
    <n v="34.200000000000003"/>
    <x v="1"/>
    <n v="2"/>
    <x v="1"/>
    <x v="2"/>
    <n v="7261.741"/>
  </r>
  <r>
    <x v="43"/>
    <x v="1"/>
    <n v="33.33"/>
    <x v="1"/>
    <n v="3"/>
    <x v="1"/>
    <x v="1"/>
    <n v="10560.4917"/>
  </r>
  <r>
    <x v="29"/>
    <x v="1"/>
    <n v="32.299999999999997"/>
    <x v="1"/>
    <n v="2"/>
    <x v="1"/>
    <x v="2"/>
    <n v="6986.6970000000001"/>
  </r>
  <r>
    <x v="39"/>
    <x v="1"/>
    <n v="39.805"/>
    <x v="1"/>
    <n v="0"/>
    <x v="1"/>
    <x v="3"/>
    <n v="7448.4039499999999"/>
  </r>
  <r>
    <x v="22"/>
    <x v="1"/>
    <n v="34.32"/>
    <x v="1"/>
    <n v="3"/>
    <x v="1"/>
    <x v="1"/>
    <n v="5934.3797999999997"/>
  </r>
  <r>
    <x v="31"/>
    <x v="1"/>
    <n v="28.88"/>
    <x v="0"/>
    <n v="0"/>
    <x v="1"/>
    <x v="2"/>
    <n v="9869.8101999999999"/>
  </r>
  <r>
    <x v="15"/>
    <x v="1"/>
    <n v="24.4"/>
    <x v="2"/>
    <n v="3"/>
    <x v="0"/>
    <x v="0"/>
    <n v="18259.216"/>
  </r>
  <r>
    <x v="1"/>
    <x v="1"/>
    <n v="41.14"/>
    <x v="1"/>
    <n v="0"/>
    <x v="1"/>
    <x v="1"/>
    <n v="1146.7965999999999"/>
  </r>
  <r>
    <x v="43"/>
    <x v="1"/>
    <n v="35.97"/>
    <x v="1"/>
    <n v="1"/>
    <x v="1"/>
    <x v="1"/>
    <n v="9386.1612999999998"/>
  </r>
  <r>
    <x v="45"/>
    <x v="0"/>
    <n v="27.6"/>
    <x v="0"/>
    <n v="1"/>
    <x v="0"/>
    <x v="0"/>
    <n v="24520.263999999999"/>
  </r>
  <r>
    <x v="5"/>
    <x v="0"/>
    <n v="29.26"/>
    <x v="0"/>
    <n v="1"/>
    <x v="1"/>
    <x v="1"/>
    <n v="4350.5144"/>
  </r>
  <r>
    <x v="22"/>
    <x v="0"/>
    <n v="27.7"/>
    <x v="0"/>
    <n v="3"/>
    <x v="1"/>
    <x v="0"/>
    <n v="6414.1779999999999"/>
  </r>
  <r>
    <x v="8"/>
    <x v="1"/>
    <n v="36.954999999999998"/>
    <x v="1"/>
    <n v="0"/>
    <x v="1"/>
    <x v="3"/>
    <n v="12741.167450000001"/>
  </r>
  <r>
    <x v="27"/>
    <x v="1"/>
    <n v="36.86"/>
    <x v="1"/>
    <n v="0"/>
    <x v="1"/>
    <x v="2"/>
    <n v="1917.3184000000001"/>
  </r>
  <r>
    <x v="38"/>
    <x v="1"/>
    <n v="22.515000000000001"/>
    <x v="2"/>
    <n v="3"/>
    <x v="1"/>
    <x v="3"/>
    <n v="5209.5788499999999"/>
  </r>
  <r>
    <x v="10"/>
    <x v="0"/>
    <n v="29.92"/>
    <x v="0"/>
    <n v="0"/>
    <x v="1"/>
    <x v="1"/>
    <n v="13457.960800000001"/>
  </r>
  <r>
    <x v="46"/>
    <x v="0"/>
    <n v="41.8"/>
    <x v="1"/>
    <n v="0"/>
    <x v="1"/>
    <x v="1"/>
    <n v="5662.2250000000004"/>
  </r>
  <r>
    <x v="0"/>
    <x v="1"/>
    <n v="27.6"/>
    <x v="0"/>
    <n v="0"/>
    <x v="1"/>
    <x v="0"/>
    <n v="1252.4069999999999"/>
  </r>
  <r>
    <x v="20"/>
    <x v="0"/>
    <n v="23.18"/>
    <x v="2"/>
    <n v="0"/>
    <x v="1"/>
    <x v="3"/>
    <n v="2731.9122000000002"/>
  </r>
  <r>
    <x v="31"/>
    <x v="1"/>
    <n v="20.9"/>
    <x v="2"/>
    <n v="0"/>
    <x v="0"/>
    <x v="1"/>
    <n v="21195.817999999999"/>
  </r>
  <r>
    <x v="46"/>
    <x v="0"/>
    <n v="31.92"/>
    <x v="1"/>
    <n v="2"/>
    <x v="1"/>
    <x v="2"/>
    <n v="7209.4917999999998"/>
  </r>
  <r>
    <x v="13"/>
    <x v="1"/>
    <n v="28.5"/>
    <x v="0"/>
    <n v="0"/>
    <x v="0"/>
    <x v="2"/>
    <n v="18310.741999999998"/>
  </r>
  <r>
    <x v="15"/>
    <x v="1"/>
    <n v="44.22"/>
    <x v="1"/>
    <n v="2"/>
    <x v="1"/>
    <x v="1"/>
    <n v="4266.1657999999998"/>
  </r>
  <r>
    <x v="15"/>
    <x v="0"/>
    <n v="22.895"/>
    <x v="2"/>
    <n v="1"/>
    <x v="1"/>
    <x v="3"/>
    <n v="4719.52405"/>
  </r>
  <r>
    <x v="30"/>
    <x v="0"/>
    <n v="33.1"/>
    <x v="1"/>
    <n v="0"/>
    <x v="1"/>
    <x v="0"/>
    <n v="11848.141"/>
  </r>
  <r>
    <x v="3"/>
    <x v="1"/>
    <n v="24.795000000000002"/>
    <x v="2"/>
    <n v="0"/>
    <x v="0"/>
    <x v="3"/>
    <n v="17904.527050000001"/>
  </r>
  <r>
    <x v="44"/>
    <x v="0"/>
    <n v="26.18"/>
    <x v="0"/>
    <n v="1"/>
    <x v="1"/>
    <x v="1"/>
    <n v="7046.7222000000002"/>
  </r>
  <r>
    <x v="33"/>
    <x v="0"/>
    <n v="35.97"/>
    <x v="1"/>
    <n v="0"/>
    <x v="1"/>
    <x v="1"/>
    <n v="14313.846299999999"/>
  </r>
  <r>
    <x v="27"/>
    <x v="1"/>
    <n v="22.3"/>
    <x v="2"/>
    <n v="1"/>
    <x v="1"/>
    <x v="0"/>
    <n v="2103.08"/>
  </r>
  <r>
    <x v="1"/>
    <x v="0"/>
    <n v="42.24"/>
    <x v="1"/>
    <n v="0"/>
    <x v="0"/>
    <x v="1"/>
    <n v="38792.685599999997"/>
  </r>
  <r>
    <x v="11"/>
    <x v="1"/>
    <n v="26.51"/>
    <x v="0"/>
    <n v="0"/>
    <x v="1"/>
    <x v="1"/>
    <n v="1815.8759"/>
  </r>
  <r>
    <x v="39"/>
    <x v="0"/>
    <n v="35.814999999999998"/>
    <x v="1"/>
    <n v="0"/>
    <x v="1"/>
    <x v="2"/>
    <n v="7731.8578500000003"/>
  </r>
  <r>
    <x v="29"/>
    <x v="0"/>
    <n v="41.42"/>
    <x v="1"/>
    <n v="1"/>
    <x v="1"/>
    <x v="2"/>
    <n v="28476.734990000001"/>
  </r>
  <r>
    <x v="0"/>
    <x v="0"/>
    <n v="36.575000000000003"/>
    <x v="1"/>
    <n v="0"/>
    <x v="1"/>
    <x v="2"/>
    <n v="2136.8822500000001"/>
  </r>
  <r>
    <x v="1"/>
    <x v="1"/>
    <n v="30.14"/>
    <x v="1"/>
    <n v="0"/>
    <x v="1"/>
    <x v="1"/>
    <n v="1131.5065999999999"/>
  </r>
  <r>
    <x v="9"/>
    <x v="1"/>
    <n v="25.84"/>
    <x v="0"/>
    <n v="1"/>
    <x v="1"/>
    <x v="3"/>
    <n v="3309.7926000000002"/>
  </r>
  <r>
    <x v="6"/>
    <x v="0"/>
    <n v="30.8"/>
    <x v="1"/>
    <n v="3"/>
    <x v="1"/>
    <x v="0"/>
    <n v="9414.92"/>
  </r>
  <r>
    <x v="3"/>
    <x v="0"/>
    <n v="42.94"/>
    <x v="1"/>
    <n v="3"/>
    <x v="1"/>
    <x v="2"/>
    <n v="6360.9935999999998"/>
  </r>
  <r>
    <x v="40"/>
    <x v="1"/>
    <n v="21.01"/>
    <x v="2"/>
    <n v="2"/>
    <x v="1"/>
    <x v="1"/>
    <n v="11013.7119"/>
  </r>
  <r>
    <x v="2"/>
    <x v="1"/>
    <n v="22.515000000000001"/>
    <x v="2"/>
    <n v="2"/>
    <x v="1"/>
    <x v="3"/>
    <n v="4428.8878500000001"/>
  </r>
  <r>
    <x v="26"/>
    <x v="1"/>
    <n v="34.43"/>
    <x v="1"/>
    <n v="2"/>
    <x v="1"/>
    <x v="1"/>
    <n v="5584.3056999999999"/>
  </r>
  <r>
    <x v="34"/>
    <x v="0"/>
    <n v="31.46"/>
    <x v="1"/>
    <n v="0"/>
    <x v="1"/>
    <x v="1"/>
    <n v="1877.9294"/>
  </r>
  <r>
    <x v="23"/>
    <x v="0"/>
    <n v="24.225000000000001"/>
    <x v="2"/>
    <n v="0"/>
    <x v="1"/>
    <x v="2"/>
    <n v="2842.7607499999999"/>
  </r>
  <r>
    <x v="11"/>
    <x v="1"/>
    <n v="37.1"/>
    <x v="1"/>
    <n v="3"/>
    <x v="1"/>
    <x v="0"/>
    <n v="3597.596"/>
  </r>
  <r>
    <x v="42"/>
    <x v="0"/>
    <n v="26.125"/>
    <x v="0"/>
    <n v="1"/>
    <x v="0"/>
    <x v="3"/>
    <n v="23401.30575"/>
  </r>
  <r>
    <x v="3"/>
    <x v="0"/>
    <n v="35.53"/>
    <x v="1"/>
    <n v="0"/>
    <x v="0"/>
    <x v="2"/>
    <n v="55135.402090000003"/>
  </r>
  <r>
    <x v="39"/>
    <x v="1"/>
    <n v="33.700000000000003"/>
    <x v="1"/>
    <n v="1"/>
    <x v="1"/>
    <x v="0"/>
    <n v="7445.9179999999997"/>
  </r>
  <r>
    <x v="21"/>
    <x v="1"/>
    <n v="17.670000000000002"/>
    <x v="3"/>
    <n v="0"/>
    <x v="1"/>
    <x v="2"/>
    <n v="2680.9493000000002"/>
  </r>
  <r>
    <x v="1"/>
    <x v="0"/>
    <n v="31.13"/>
    <x v="1"/>
    <n v="0"/>
    <x v="1"/>
    <x v="1"/>
    <n v="1621.8827000000001"/>
  </r>
  <r>
    <x v="36"/>
    <x v="0"/>
    <n v="29.81"/>
    <x v="0"/>
    <n v="2"/>
    <x v="1"/>
    <x v="1"/>
    <n v="8219.2039000000004"/>
  </r>
  <r>
    <x v="8"/>
    <x v="1"/>
    <n v="24.32"/>
    <x v="2"/>
    <n v="0"/>
    <x v="1"/>
    <x v="2"/>
    <n v="12523.604799999999"/>
  </r>
  <r>
    <x v="33"/>
    <x v="0"/>
    <n v="31.824999999999999"/>
    <x v="1"/>
    <n v="2"/>
    <x v="1"/>
    <x v="3"/>
    <n v="16069.08475"/>
  </r>
  <r>
    <x v="12"/>
    <x v="1"/>
    <n v="31.79"/>
    <x v="1"/>
    <n v="2"/>
    <x v="0"/>
    <x v="1"/>
    <n v="43813.866099999999"/>
  </r>
  <r>
    <x v="26"/>
    <x v="1"/>
    <n v="28.024999999999999"/>
    <x v="0"/>
    <n v="1"/>
    <x v="0"/>
    <x v="3"/>
    <n v="20773.62775"/>
  </r>
  <r>
    <x v="24"/>
    <x v="1"/>
    <n v="30.78"/>
    <x v="1"/>
    <n v="3"/>
    <x v="0"/>
    <x v="3"/>
    <n v="39597.407200000001"/>
  </r>
  <r>
    <x v="46"/>
    <x v="1"/>
    <n v="21.85"/>
    <x v="2"/>
    <n v="1"/>
    <x v="1"/>
    <x v="2"/>
    <n v="6117.4944999999998"/>
  </r>
  <r>
    <x v="18"/>
    <x v="1"/>
    <n v="33.1"/>
    <x v="1"/>
    <n v="0"/>
    <x v="1"/>
    <x v="0"/>
    <n v="13393.755999999999"/>
  </r>
  <r>
    <x v="26"/>
    <x v="0"/>
    <n v="25.84"/>
    <x v="0"/>
    <n v="0"/>
    <x v="1"/>
    <x v="2"/>
    <n v="5266.3656000000001"/>
  </r>
  <r>
    <x v="2"/>
    <x v="0"/>
    <n v="23.844999999999999"/>
    <x v="2"/>
    <n v="2"/>
    <x v="1"/>
    <x v="2"/>
    <n v="4719.7365499999996"/>
  </r>
  <r>
    <x v="30"/>
    <x v="1"/>
    <n v="34.39"/>
    <x v="1"/>
    <n v="0"/>
    <x v="1"/>
    <x v="2"/>
    <n v="11743.9341"/>
  </r>
  <r>
    <x v="26"/>
    <x v="1"/>
    <n v="33.82"/>
    <x v="1"/>
    <n v="1"/>
    <x v="1"/>
    <x v="2"/>
    <n v="5377.4578000000001"/>
  </r>
  <r>
    <x v="44"/>
    <x v="1"/>
    <n v="35.97"/>
    <x v="1"/>
    <n v="2"/>
    <x v="1"/>
    <x v="1"/>
    <n v="7160.3302999999996"/>
  </r>
  <r>
    <x v="26"/>
    <x v="1"/>
    <n v="31.5"/>
    <x v="1"/>
    <n v="0"/>
    <x v="1"/>
    <x v="0"/>
    <n v="4402.2330000000002"/>
  </r>
  <r>
    <x v="12"/>
    <x v="0"/>
    <n v="28.31"/>
    <x v="0"/>
    <n v="0"/>
    <x v="1"/>
    <x v="3"/>
    <n v="11657.7189"/>
  </r>
  <r>
    <x v="22"/>
    <x v="0"/>
    <n v="23.465"/>
    <x v="2"/>
    <n v="2"/>
    <x v="1"/>
    <x v="3"/>
    <n v="6402.2913500000004"/>
  </r>
  <r>
    <x v="17"/>
    <x v="0"/>
    <n v="31.35"/>
    <x v="1"/>
    <n v="0"/>
    <x v="1"/>
    <x v="2"/>
    <n v="12622.1795"/>
  </r>
  <r>
    <x v="27"/>
    <x v="1"/>
    <n v="31.1"/>
    <x v="1"/>
    <n v="0"/>
    <x v="1"/>
    <x v="0"/>
    <n v="1526.3119999999999"/>
  </r>
  <r>
    <x v="17"/>
    <x v="1"/>
    <n v="24.7"/>
    <x v="2"/>
    <n v="0"/>
    <x v="1"/>
    <x v="3"/>
    <n v="12323.936"/>
  </r>
  <r>
    <x v="11"/>
    <x v="0"/>
    <n v="32.78"/>
    <x v="1"/>
    <n v="2"/>
    <x v="0"/>
    <x v="1"/>
    <n v="36021.011200000001"/>
  </r>
  <r>
    <x v="37"/>
    <x v="0"/>
    <n v="29.81"/>
    <x v="0"/>
    <n v="0"/>
    <x v="0"/>
    <x v="1"/>
    <n v="27533.912899999999"/>
  </r>
  <r>
    <x v="31"/>
    <x v="1"/>
    <n v="30.495000000000001"/>
    <x v="1"/>
    <n v="0"/>
    <x v="1"/>
    <x v="3"/>
    <n v="10072.055050000001"/>
  </r>
  <r>
    <x v="8"/>
    <x v="0"/>
    <n v="32.450000000000003"/>
    <x v="1"/>
    <n v="0"/>
    <x v="0"/>
    <x v="1"/>
    <n v="45008.955499999996"/>
  </r>
  <r>
    <x v="43"/>
    <x v="0"/>
    <n v="34.200000000000003"/>
    <x v="1"/>
    <n v="1"/>
    <x v="1"/>
    <x v="0"/>
    <n v="9872.7009999999991"/>
  </r>
  <r>
    <x v="11"/>
    <x v="1"/>
    <n v="50.38"/>
    <x v="1"/>
    <n v="1"/>
    <x v="1"/>
    <x v="1"/>
    <n v="2438.0551999999998"/>
  </r>
  <r>
    <x v="13"/>
    <x v="0"/>
    <n v="24.1"/>
    <x v="2"/>
    <n v="0"/>
    <x v="1"/>
    <x v="0"/>
    <n v="2974.1260000000002"/>
  </r>
  <r>
    <x v="19"/>
    <x v="1"/>
    <n v="32.774999999999999"/>
    <x v="1"/>
    <n v="0"/>
    <x v="1"/>
    <x v="2"/>
    <n v="10601.632250000001"/>
  </r>
  <r>
    <x v="7"/>
    <x v="0"/>
    <n v="30.78"/>
    <x v="1"/>
    <n v="0"/>
    <x v="0"/>
    <x v="3"/>
    <n v="37270.1512"/>
  </r>
  <r>
    <x v="35"/>
    <x v="1"/>
    <n v="32.299999999999997"/>
    <x v="1"/>
    <n v="2"/>
    <x v="1"/>
    <x v="2"/>
    <n v="14119.62"/>
  </r>
  <r>
    <x v="6"/>
    <x v="0"/>
    <n v="35.53"/>
    <x v="1"/>
    <n v="0"/>
    <x v="0"/>
    <x v="3"/>
    <n v="42111.664700000001"/>
  </r>
  <r>
    <x v="31"/>
    <x v="0"/>
    <n v="23.75"/>
    <x v="2"/>
    <n v="2"/>
    <x v="1"/>
    <x v="3"/>
    <n v="11729.6795"/>
  </r>
  <r>
    <x v="41"/>
    <x v="0"/>
    <n v="23.844999999999999"/>
    <x v="2"/>
    <n v="3"/>
    <x v="0"/>
    <x v="3"/>
    <n v="24106.912550000001"/>
  </r>
  <r>
    <x v="34"/>
    <x v="0"/>
    <n v="29.6"/>
    <x v="0"/>
    <n v="0"/>
    <x v="1"/>
    <x v="0"/>
    <n v="1875.3440000000001"/>
  </r>
  <r>
    <x v="28"/>
    <x v="0"/>
    <n v="33.11"/>
    <x v="1"/>
    <n v="0"/>
    <x v="0"/>
    <x v="1"/>
    <n v="40974.164900000003"/>
  </r>
  <r>
    <x v="9"/>
    <x v="1"/>
    <n v="24.13"/>
    <x v="2"/>
    <n v="0"/>
    <x v="0"/>
    <x v="2"/>
    <n v="15817.985699999999"/>
  </r>
  <r>
    <x v="9"/>
    <x v="0"/>
    <n v="32.229999999999997"/>
    <x v="1"/>
    <n v="1"/>
    <x v="1"/>
    <x v="1"/>
    <n v="18218.161390000001"/>
  </r>
  <r>
    <x v="37"/>
    <x v="1"/>
    <n v="28.1"/>
    <x v="0"/>
    <n v="0"/>
    <x v="1"/>
    <x v="0"/>
    <n v="10965.446"/>
  </r>
  <r>
    <x v="7"/>
    <x v="0"/>
    <n v="47.6"/>
    <x v="1"/>
    <n v="2"/>
    <x v="0"/>
    <x v="0"/>
    <n v="46113.510999999999"/>
  </r>
  <r>
    <x v="25"/>
    <x v="0"/>
    <n v="28"/>
    <x v="0"/>
    <n v="3"/>
    <x v="1"/>
    <x v="0"/>
    <n v="7151.0919999999996"/>
  </r>
  <r>
    <x v="19"/>
    <x v="0"/>
    <n v="33.534999999999997"/>
    <x v="1"/>
    <n v="2"/>
    <x v="1"/>
    <x v="2"/>
    <n v="12269.68865"/>
  </r>
  <r>
    <x v="26"/>
    <x v="0"/>
    <n v="19.855"/>
    <x v="2"/>
    <n v="0"/>
    <x v="1"/>
    <x v="3"/>
    <n v="5458.0464499999998"/>
  </r>
  <r>
    <x v="43"/>
    <x v="1"/>
    <n v="25.4"/>
    <x v="0"/>
    <n v="0"/>
    <x v="1"/>
    <x v="0"/>
    <n v="8782.4689999999991"/>
  </r>
  <r>
    <x v="29"/>
    <x v="1"/>
    <n v="29.9"/>
    <x v="0"/>
    <n v="2"/>
    <x v="1"/>
    <x v="0"/>
    <n v="6600.3609999999999"/>
  </r>
  <r>
    <x v="1"/>
    <x v="1"/>
    <n v="37.29"/>
    <x v="1"/>
    <n v="0"/>
    <x v="1"/>
    <x v="1"/>
    <n v="1141.4450999999999"/>
  </r>
  <r>
    <x v="37"/>
    <x v="1"/>
    <n v="43.7"/>
    <x v="1"/>
    <n v="1"/>
    <x v="1"/>
    <x v="0"/>
    <n v="11576.13"/>
  </r>
  <r>
    <x v="35"/>
    <x v="1"/>
    <n v="23.655000000000001"/>
    <x v="2"/>
    <n v="0"/>
    <x v="1"/>
    <x v="3"/>
    <n v="13129.603450000001"/>
  </r>
  <r>
    <x v="9"/>
    <x v="0"/>
    <n v="24.3"/>
    <x v="2"/>
    <n v="3"/>
    <x v="1"/>
    <x v="0"/>
    <n v="4391.652"/>
  </r>
  <r>
    <x v="45"/>
    <x v="1"/>
    <n v="36.200000000000003"/>
    <x v="1"/>
    <n v="0"/>
    <x v="1"/>
    <x v="0"/>
    <n v="8457.8179999999993"/>
  </r>
  <r>
    <x v="21"/>
    <x v="0"/>
    <n v="29.48"/>
    <x v="0"/>
    <n v="1"/>
    <x v="1"/>
    <x v="1"/>
    <n v="3392.3652000000002"/>
  </r>
  <r>
    <x v="44"/>
    <x v="1"/>
    <n v="24.86"/>
    <x v="2"/>
    <n v="0"/>
    <x v="1"/>
    <x v="1"/>
    <n v="5966.8873999999996"/>
  </r>
  <r>
    <x v="32"/>
    <x v="1"/>
    <n v="30.1"/>
    <x v="1"/>
    <n v="1"/>
    <x v="1"/>
    <x v="0"/>
    <n v="6849.0259999999998"/>
  </r>
  <r>
    <x v="36"/>
    <x v="1"/>
    <n v="21.85"/>
    <x v="2"/>
    <n v="3"/>
    <x v="1"/>
    <x v="3"/>
    <n v="8891.1394999999993"/>
  </r>
  <r>
    <x v="11"/>
    <x v="0"/>
    <n v="28.12"/>
    <x v="0"/>
    <n v="0"/>
    <x v="1"/>
    <x v="2"/>
    <n v="2690.1138000000001"/>
  </r>
  <r>
    <x v="41"/>
    <x v="0"/>
    <n v="27.1"/>
    <x v="0"/>
    <n v="1"/>
    <x v="1"/>
    <x v="0"/>
    <n v="26140.3603"/>
  </r>
  <r>
    <x v="3"/>
    <x v="1"/>
    <n v="33.44"/>
    <x v="1"/>
    <n v="5"/>
    <x v="1"/>
    <x v="1"/>
    <n v="6653.7885999999999"/>
  </r>
  <r>
    <x v="24"/>
    <x v="1"/>
    <n v="28.8"/>
    <x v="0"/>
    <n v="1"/>
    <x v="1"/>
    <x v="0"/>
    <n v="6282.2349999999997"/>
  </r>
  <r>
    <x v="7"/>
    <x v="0"/>
    <n v="29.5"/>
    <x v="0"/>
    <n v="2"/>
    <x v="1"/>
    <x v="0"/>
    <n v="6311.9520000000002"/>
  </r>
  <r>
    <x v="20"/>
    <x v="1"/>
    <n v="34.799999999999997"/>
    <x v="1"/>
    <n v="3"/>
    <x v="1"/>
    <x v="0"/>
    <n v="3443.0639999999999"/>
  </r>
  <r>
    <x v="11"/>
    <x v="1"/>
    <n v="27.36"/>
    <x v="0"/>
    <n v="1"/>
    <x v="1"/>
    <x v="2"/>
    <n v="2789.0574000000001"/>
  </r>
  <r>
    <x v="27"/>
    <x v="0"/>
    <n v="22.135000000000002"/>
    <x v="2"/>
    <n v="0"/>
    <x v="1"/>
    <x v="3"/>
    <n v="2585.8506499999999"/>
  </r>
  <r>
    <x v="43"/>
    <x v="0"/>
    <n v="37.049999999999997"/>
    <x v="1"/>
    <n v="3"/>
    <x v="0"/>
    <x v="3"/>
    <n v="46255.112500000003"/>
  </r>
  <r>
    <x v="9"/>
    <x v="1"/>
    <n v="26.695"/>
    <x v="0"/>
    <n v="4"/>
    <x v="1"/>
    <x v="2"/>
    <n v="4877.9810500000003"/>
  </r>
  <r>
    <x v="4"/>
    <x v="1"/>
    <n v="28.93"/>
    <x v="0"/>
    <n v="1"/>
    <x v="0"/>
    <x v="1"/>
    <n v="19719.6947"/>
  </r>
  <r>
    <x v="37"/>
    <x v="1"/>
    <n v="28.975000000000001"/>
    <x v="0"/>
    <n v="0"/>
    <x v="0"/>
    <x v="3"/>
    <n v="27218.437249999999"/>
  </r>
  <r>
    <x v="26"/>
    <x v="0"/>
    <n v="30.02"/>
    <x v="1"/>
    <n v="0"/>
    <x v="1"/>
    <x v="2"/>
    <n v="5272.1758"/>
  </r>
  <r>
    <x v="20"/>
    <x v="1"/>
    <n v="39.5"/>
    <x v="1"/>
    <n v="0"/>
    <x v="1"/>
    <x v="0"/>
    <n v="1682.597"/>
  </r>
  <r>
    <x v="37"/>
    <x v="1"/>
    <n v="33.630000000000003"/>
    <x v="1"/>
    <n v="1"/>
    <x v="1"/>
    <x v="2"/>
    <n v="11945.1327"/>
  </r>
  <r>
    <x v="33"/>
    <x v="0"/>
    <n v="26.885000000000002"/>
    <x v="0"/>
    <n v="0"/>
    <x v="0"/>
    <x v="2"/>
    <n v="29330.98315"/>
  </r>
  <r>
    <x v="26"/>
    <x v="0"/>
    <n v="29.04"/>
    <x v="0"/>
    <n v="4"/>
    <x v="1"/>
    <x v="1"/>
    <n v="7243.8136000000004"/>
  </r>
  <r>
    <x v="40"/>
    <x v="1"/>
    <n v="24.035"/>
    <x v="2"/>
    <n v="0"/>
    <x v="1"/>
    <x v="3"/>
    <n v="10422.916649999999"/>
  </r>
  <r>
    <x v="42"/>
    <x v="1"/>
    <n v="38.94"/>
    <x v="1"/>
    <n v="2"/>
    <x v="0"/>
    <x v="1"/>
    <n v="44202.653599999998"/>
  </r>
  <r>
    <x v="10"/>
    <x v="1"/>
    <n v="32.11"/>
    <x v="1"/>
    <n v="0"/>
    <x v="1"/>
    <x v="3"/>
    <n v="13555.0049"/>
  </r>
  <r>
    <x v="35"/>
    <x v="0"/>
    <n v="44"/>
    <x v="1"/>
    <n v="0"/>
    <x v="1"/>
    <x v="0"/>
    <n v="13063.883"/>
  </r>
  <r>
    <x v="32"/>
    <x v="0"/>
    <n v="20.045000000000002"/>
    <x v="2"/>
    <n v="2"/>
    <x v="0"/>
    <x v="3"/>
    <n v="19798.054550000001"/>
  </r>
  <r>
    <x v="0"/>
    <x v="1"/>
    <n v="25.555"/>
    <x v="0"/>
    <n v="1"/>
    <x v="1"/>
    <x v="2"/>
    <n v="2221.5644499999999"/>
  </r>
  <r>
    <x v="1"/>
    <x v="0"/>
    <n v="40.26"/>
    <x v="1"/>
    <n v="0"/>
    <x v="1"/>
    <x v="1"/>
    <n v="1634.5734"/>
  </r>
  <r>
    <x v="0"/>
    <x v="0"/>
    <n v="22.515000000000001"/>
    <x v="2"/>
    <n v="0"/>
    <x v="1"/>
    <x v="2"/>
    <n v="2117.3388500000001"/>
  </r>
  <r>
    <x v="41"/>
    <x v="1"/>
    <n v="22.515000000000001"/>
    <x v="2"/>
    <n v="0"/>
    <x v="1"/>
    <x v="3"/>
    <n v="8688.8588500000005"/>
  </r>
  <r>
    <x v="8"/>
    <x v="1"/>
    <n v="40.92"/>
    <x v="1"/>
    <n v="0"/>
    <x v="0"/>
    <x v="1"/>
    <n v="48673.558799999999"/>
  </r>
  <r>
    <x v="21"/>
    <x v="1"/>
    <n v="27.265000000000001"/>
    <x v="0"/>
    <n v="3"/>
    <x v="1"/>
    <x v="3"/>
    <n v="4661.2863500000003"/>
  </r>
  <r>
    <x v="41"/>
    <x v="1"/>
    <n v="36.85"/>
    <x v="1"/>
    <n v="0"/>
    <x v="1"/>
    <x v="1"/>
    <n v="8125.7844999999998"/>
  </r>
  <r>
    <x v="8"/>
    <x v="0"/>
    <n v="35.1"/>
    <x v="1"/>
    <n v="0"/>
    <x v="1"/>
    <x v="0"/>
    <n v="12644.589"/>
  </r>
  <r>
    <x v="21"/>
    <x v="0"/>
    <n v="29.355"/>
    <x v="0"/>
    <n v="2"/>
    <x v="1"/>
    <x v="3"/>
    <n v="4564.1914500000003"/>
  </r>
  <r>
    <x v="13"/>
    <x v="1"/>
    <n v="32.585000000000001"/>
    <x v="1"/>
    <n v="3"/>
    <x v="1"/>
    <x v="3"/>
    <n v="4846.9201499999999"/>
  </r>
  <r>
    <x v="36"/>
    <x v="0"/>
    <n v="32.340000000000003"/>
    <x v="1"/>
    <n v="1"/>
    <x v="1"/>
    <x v="1"/>
    <n v="7633.7205999999996"/>
  </r>
  <r>
    <x v="18"/>
    <x v="1"/>
    <n v="39.799999999999997"/>
    <x v="1"/>
    <n v="3"/>
    <x v="1"/>
    <x v="0"/>
    <n v="15170.069"/>
  </r>
  <r>
    <x v="4"/>
    <x v="0"/>
    <n v="24.6"/>
    <x v="2"/>
    <n v="0"/>
    <x v="0"/>
    <x v="0"/>
    <n v="17496.306"/>
  </r>
  <r>
    <x v="20"/>
    <x v="1"/>
    <n v="28.31"/>
    <x v="0"/>
    <n v="1"/>
    <x v="1"/>
    <x v="2"/>
    <n v="2639.0428999999999"/>
  </r>
  <r>
    <x v="1"/>
    <x v="1"/>
    <n v="31.73"/>
    <x v="1"/>
    <n v="0"/>
    <x v="0"/>
    <x v="3"/>
    <n v="33732.686699999998"/>
  </r>
  <r>
    <x v="17"/>
    <x v="0"/>
    <n v="26.695"/>
    <x v="0"/>
    <n v="3"/>
    <x v="1"/>
    <x v="2"/>
    <n v="14382.709049999999"/>
  </r>
  <r>
    <x v="36"/>
    <x v="0"/>
    <n v="27.5"/>
    <x v="0"/>
    <n v="1"/>
    <x v="1"/>
    <x v="0"/>
    <n v="7626.9930000000004"/>
  </r>
  <r>
    <x v="3"/>
    <x v="1"/>
    <n v="24.605"/>
    <x v="2"/>
    <n v="2"/>
    <x v="1"/>
    <x v="2"/>
    <n v="5257.5079500000002"/>
  </r>
  <r>
    <x v="23"/>
    <x v="0"/>
    <n v="33.99"/>
    <x v="1"/>
    <n v="0"/>
    <x v="1"/>
    <x v="1"/>
    <n v="2473.3341"/>
  </r>
  <r>
    <x v="32"/>
    <x v="0"/>
    <n v="26.885000000000002"/>
    <x v="0"/>
    <n v="0"/>
    <x v="0"/>
    <x v="2"/>
    <n v="21774.32215"/>
  </r>
  <r>
    <x v="39"/>
    <x v="1"/>
    <n v="22.895"/>
    <x v="2"/>
    <n v="0"/>
    <x v="0"/>
    <x v="3"/>
    <n v="35069.374519999998"/>
  </r>
  <r>
    <x v="35"/>
    <x v="0"/>
    <n v="28.2"/>
    <x v="0"/>
    <n v="0"/>
    <x v="1"/>
    <x v="0"/>
    <n v="13041.921"/>
  </r>
  <r>
    <x v="22"/>
    <x v="0"/>
    <n v="34.21"/>
    <x v="1"/>
    <n v="1"/>
    <x v="1"/>
    <x v="1"/>
    <n v="5245.2268999999997"/>
  </r>
  <r>
    <x v="10"/>
    <x v="0"/>
    <n v="25"/>
    <x v="0"/>
    <n v="0"/>
    <x v="1"/>
    <x v="0"/>
    <n v="13451.121999999999"/>
  </r>
  <r>
    <x v="10"/>
    <x v="0"/>
    <n v="33.200000000000003"/>
    <x v="1"/>
    <n v="0"/>
    <x v="1"/>
    <x v="0"/>
    <n v="13462.52"/>
  </r>
  <r>
    <x v="25"/>
    <x v="1"/>
    <n v="31"/>
    <x v="1"/>
    <n v="1"/>
    <x v="1"/>
    <x v="0"/>
    <n v="5488.2619999999997"/>
  </r>
  <r>
    <x v="16"/>
    <x v="1"/>
    <n v="35.814999999999998"/>
    <x v="1"/>
    <n v="0"/>
    <x v="1"/>
    <x v="2"/>
    <n v="4320.4108500000002"/>
  </r>
  <r>
    <x v="32"/>
    <x v="1"/>
    <n v="23.2"/>
    <x v="2"/>
    <n v="0"/>
    <x v="1"/>
    <x v="0"/>
    <n v="6250.4350000000004"/>
  </r>
  <r>
    <x v="45"/>
    <x v="1"/>
    <n v="32.11"/>
    <x v="1"/>
    <n v="2"/>
    <x v="1"/>
    <x v="3"/>
    <n v="25333.332839999999"/>
  </r>
  <r>
    <x v="0"/>
    <x v="0"/>
    <n v="23.4"/>
    <x v="2"/>
    <n v="2"/>
    <x v="1"/>
    <x v="0"/>
    <n v="2913.569"/>
  </r>
  <r>
    <x v="37"/>
    <x v="0"/>
    <n v="20.100000000000001"/>
    <x v="2"/>
    <n v="1"/>
    <x v="1"/>
    <x v="0"/>
    <n v="12032.325999999999"/>
  </r>
  <r>
    <x v="10"/>
    <x v="0"/>
    <n v="39.159999999999997"/>
    <x v="1"/>
    <n v="0"/>
    <x v="1"/>
    <x v="1"/>
    <n v="13470.804400000001"/>
  </r>
  <r>
    <x v="24"/>
    <x v="1"/>
    <n v="34.21"/>
    <x v="1"/>
    <n v="1"/>
    <x v="1"/>
    <x v="1"/>
    <n v="6289.7548999999999"/>
  </r>
  <r>
    <x v="21"/>
    <x v="1"/>
    <n v="46.53"/>
    <x v="1"/>
    <n v="1"/>
    <x v="1"/>
    <x v="1"/>
    <n v="2927.0646999999999"/>
  </r>
  <r>
    <x v="46"/>
    <x v="0"/>
    <n v="32.5"/>
    <x v="1"/>
    <n v="1"/>
    <x v="1"/>
    <x v="0"/>
    <n v="6238.2979999999998"/>
  </r>
  <r>
    <x v="6"/>
    <x v="1"/>
    <n v="25.8"/>
    <x v="0"/>
    <n v="5"/>
    <x v="1"/>
    <x v="0"/>
    <n v="10096.969999999999"/>
  </r>
  <r>
    <x v="39"/>
    <x v="0"/>
    <n v="35.299999999999997"/>
    <x v="1"/>
    <n v="0"/>
    <x v="1"/>
    <x v="0"/>
    <n v="7348.1419999999998"/>
  </r>
  <r>
    <x v="4"/>
    <x v="1"/>
    <n v="37.18"/>
    <x v="1"/>
    <n v="2"/>
    <x v="1"/>
    <x v="1"/>
    <n v="4673.3922000000002"/>
  </r>
  <r>
    <x v="17"/>
    <x v="0"/>
    <n v="27.5"/>
    <x v="0"/>
    <n v="0"/>
    <x v="1"/>
    <x v="0"/>
    <n v="12233.828"/>
  </r>
  <r>
    <x v="36"/>
    <x v="1"/>
    <n v="29.734999999999999"/>
    <x v="0"/>
    <n v="2"/>
    <x v="1"/>
    <x v="3"/>
    <n v="32108.662820000001"/>
  </r>
  <r>
    <x v="46"/>
    <x v="0"/>
    <n v="24.225000000000001"/>
    <x v="2"/>
    <n v="5"/>
    <x v="1"/>
    <x v="2"/>
    <n v="8965.7957499999993"/>
  </r>
  <r>
    <x v="1"/>
    <x v="1"/>
    <n v="26.18"/>
    <x v="0"/>
    <n v="2"/>
    <x v="1"/>
    <x v="1"/>
    <n v="2304.0021999999999"/>
  </r>
  <r>
    <x v="31"/>
    <x v="1"/>
    <n v="29.48"/>
    <x v="0"/>
    <n v="0"/>
    <x v="1"/>
    <x v="1"/>
    <n v="9487.6442000000006"/>
  </r>
  <r>
    <x v="1"/>
    <x v="1"/>
    <n v="23.21"/>
    <x v="2"/>
    <n v="0"/>
    <x v="1"/>
    <x v="1"/>
    <n v="1121.8739"/>
  </r>
  <r>
    <x v="45"/>
    <x v="0"/>
    <n v="46.09"/>
    <x v="1"/>
    <n v="1"/>
    <x v="1"/>
    <x v="1"/>
    <n v="9549.5650999999998"/>
  </r>
  <r>
    <x v="1"/>
    <x v="0"/>
    <n v="40.185000000000002"/>
    <x v="1"/>
    <n v="0"/>
    <x v="1"/>
    <x v="3"/>
    <n v="2217.4691499999999"/>
  </r>
  <r>
    <x v="0"/>
    <x v="1"/>
    <n v="22.61"/>
    <x v="2"/>
    <n v="0"/>
    <x v="1"/>
    <x v="2"/>
    <n v="1628.4709"/>
  </r>
  <r>
    <x v="10"/>
    <x v="1"/>
    <n v="39.93"/>
    <x v="1"/>
    <n v="0"/>
    <x v="1"/>
    <x v="1"/>
    <n v="12982.8747"/>
  </r>
  <r>
    <x v="12"/>
    <x v="0"/>
    <n v="35.799999999999997"/>
    <x v="1"/>
    <n v="1"/>
    <x v="1"/>
    <x v="0"/>
    <n v="11674.13"/>
  </r>
  <r>
    <x v="44"/>
    <x v="1"/>
    <n v="35.799999999999997"/>
    <x v="1"/>
    <n v="2"/>
    <x v="1"/>
    <x v="0"/>
    <n v="7160.0940000000001"/>
  </r>
  <r>
    <x v="7"/>
    <x v="1"/>
    <n v="34.200000000000003"/>
    <x v="1"/>
    <n v="1"/>
    <x v="0"/>
    <x v="3"/>
    <n v="39047.285000000003"/>
  </r>
  <r>
    <x v="44"/>
    <x v="1"/>
    <n v="31.254999999999999"/>
    <x v="1"/>
    <n v="0"/>
    <x v="1"/>
    <x v="2"/>
    <n v="6358.7764500000003"/>
  </r>
  <r>
    <x v="9"/>
    <x v="1"/>
    <n v="29.7"/>
    <x v="0"/>
    <n v="3"/>
    <x v="0"/>
    <x v="0"/>
    <n v="19933.457999999999"/>
  </r>
  <r>
    <x v="37"/>
    <x v="1"/>
    <n v="18.335000000000001"/>
    <x v="3"/>
    <n v="0"/>
    <x v="1"/>
    <x v="3"/>
    <n v="11534.872649999999"/>
  </r>
  <r>
    <x v="43"/>
    <x v="1"/>
    <n v="42.9"/>
    <x v="1"/>
    <n v="2"/>
    <x v="0"/>
    <x v="1"/>
    <n v="47462.894"/>
  </r>
  <r>
    <x v="15"/>
    <x v="0"/>
    <n v="28.405000000000001"/>
    <x v="0"/>
    <n v="1"/>
    <x v="1"/>
    <x v="2"/>
    <n v="4527.1829500000003"/>
  </r>
  <r>
    <x v="36"/>
    <x v="1"/>
    <n v="30.2"/>
    <x v="1"/>
    <n v="2"/>
    <x v="0"/>
    <x v="0"/>
    <n v="38998.546000000002"/>
  </r>
  <r>
    <x v="16"/>
    <x v="1"/>
    <n v="27.835000000000001"/>
    <x v="0"/>
    <n v="1"/>
    <x v="0"/>
    <x v="2"/>
    <n v="20009.63365"/>
  </r>
  <r>
    <x v="5"/>
    <x v="1"/>
    <n v="39.49"/>
    <x v="1"/>
    <n v="1"/>
    <x v="1"/>
    <x v="1"/>
    <n v="3875.7341000000001"/>
  </r>
  <r>
    <x v="40"/>
    <x v="1"/>
    <n v="30.8"/>
    <x v="1"/>
    <n v="1"/>
    <x v="0"/>
    <x v="1"/>
    <n v="41999.519999999997"/>
  </r>
  <r>
    <x v="23"/>
    <x v="1"/>
    <n v="26.79"/>
    <x v="0"/>
    <n v="1"/>
    <x v="1"/>
    <x v="2"/>
    <n v="12609.88702"/>
  </r>
  <r>
    <x v="32"/>
    <x v="1"/>
    <n v="34.96"/>
    <x v="1"/>
    <n v="1"/>
    <x v="0"/>
    <x v="3"/>
    <n v="41034.221400000002"/>
  </r>
  <r>
    <x v="28"/>
    <x v="1"/>
    <n v="36.67"/>
    <x v="1"/>
    <n v="1"/>
    <x v="1"/>
    <x v="2"/>
    <n v="28468.919010000001"/>
  </r>
  <r>
    <x v="0"/>
    <x v="0"/>
    <n v="39.615000000000002"/>
    <x v="1"/>
    <n v="1"/>
    <x v="1"/>
    <x v="2"/>
    <n v="2730.1078499999999"/>
  </r>
  <r>
    <x v="38"/>
    <x v="0"/>
    <n v="25.9"/>
    <x v="0"/>
    <n v="0"/>
    <x v="1"/>
    <x v="0"/>
    <n v="3353.2840000000001"/>
  </r>
  <r>
    <x v="18"/>
    <x v="0"/>
    <n v="35.200000000000003"/>
    <x v="1"/>
    <n v="1"/>
    <x v="1"/>
    <x v="1"/>
    <n v="14474.674999999999"/>
  </r>
  <r>
    <x v="6"/>
    <x v="1"/>
    <n v="24.795000000000002"/>
    <x v="2"/>
    <n v="3"/>
    <x v="1"/>
    <x v="3"/>
    <n v="9500.5730500000009"/>
  </r>
  <r>
    <x v="14"/>
    <x v="1"/>
    <n v="36.765000000000001"/>
    <x v="1"/>
    <n v="2"/>
    <x v="1"/>
    <x v="2"/>
    <n v="26467.09737"/>
  </r>
  <r>
    <x v="22"/>
    <x v="1"/>
    <n v="27.1"/>
    <x v="0"/>
    <n v="1"/>
    <x v="1"/>
    <x v="0"/>
    <n v="4746.3440000000001"/>
  </r>
  <r>
    <x v="43"/>
    <x v="1"/>
    <n v="24.795000000000002"/>
    <x v="2"/>
    <n v="2"/>
    <x v="0"/>
    <x v="2"/>
    <n v="23967.38305"/>
  </r>
  <r>
    <x v="36"/>
    <x v="1"/>
    <n v="25.364999999999998"/>
    <x v="0"/>
    <n v="1"/>
    <x v="1"/>
    <x v="2"/>
    <n v="7518.0253499999999"/>
  </r>
  <r>
    <x v="27"/>
    <x v="1"/>
    <n v="25.745000000000001"/>
    <x v="0"/>
    <n v="2"/>
    <x v="1"/>
    <x v="3"/>
    <n v="3279.8685500000001"/>
  </r>
  <r>
    <x v="46"/>
    <x v="0"/>
    <n v="34.32"/>
    <x v="1"/>
    <n v="5"/>
    <x v="1"/>
    <x v="1"/>
    <n v="8596.8277999999991"/>
  </r>
  <r>
    <x v="45"/>
    <x v="0"/>
    <n v="28.16"/>
    <x v="0"/>
    <n v="3"/>
    <x v="1"/>
    <x v="1"/>
    <n v="10702.642400000001"/>
  </r>
  <r>
    <x v="16"/>
    <x v="0"/>
    <n v="23.56"/>
    <x v="2"/>
    <n v="0"/>
    <x v="1"/>
    <x v="3"/>
    <n v="4992.3764000000001"/>
  </r>
  <r>
    <x v="20"/>
    <x v="0"/>
    <n v="20.234999999999999"/>
    <x v="2"/>
    <n v="0"/>
    <x v="1"/>
    <x v="2"/>
    <n v="2527.8186500000002"/>
  </r>
  <r>
    <x v="0"/>
    <x v="0"/>
    <n v="40.5"/>
    <x v="1"/>
    <n v="0"/>
    <x v="1"/>
    <x v="0"/>
    <n v="1759.338"/>
  </r>
  <r>
    <x v="21"/>
    <x v="1"/>
    <n v="35.42"/>
    <x v="1"/>
    <n v="0"/>
    <x v="1"/>
    <x v="1"/>
    <n v="2322.6217999999999"/>
  </r>
  <r>
    <x v="38"/>
    <x v="1"/>
    <n v="22.895"/>
    <x v="2"/>
    <n v="0"/>
    <x v="0"/>
    <x v="3"/>
    <n v="16138.762049999999"/>
  </r>
  <r>
    <x v="28"/>
    <x v="1"/>
    <n v="40.15"/>
    <x v="1"/>
    <n v="0"/>
    <x v="1"/>
    <x v="1"/>
    <n v="7804.1605"/>
  </r>
  <r>
    <x v="21"/>
    <x v="1"/>
    <n v="29.15"/>
    <x v="0"/>
    <n v="1"/>
    <x v="1"/>
    <x v="1"/>
    <n v="2902.9065000000001"/>
  </r>
  <r>
    <x v="39"/>
    <x v="0"/>
    <n v="39.994999999999997"/>
    <x v="1"/>
    <n v="3"/>
    <x v="1"/>
    <x v="3"/>
    <n v="9704.6680500000002"/>
  </r>
  <r>
    <x v="26"/>
    <x v="0"/>
    <n v="29.92"/>
    <x v="0"/>
    <n v="0"/>
    <x v="1"/>
    <x v="1"/>
    <n v="4889.0367999999999"/>
  </r>
  <r>
    <x v="40"/>
    <x v="1"/>
    <n v="25.46"/>
    <x v="0"/>
    <n v="1"/>
    <x v="1"/>
    <x v="3"/>
    <n v="25517.11363"/>
  </r>
  <r>
    <x v="16"/>
    <x v="1"/>
    <n v="21.375"/>
    <x v="2"/>
    <n v="0"/>
    <x v="1"/>
    <x v="3"/>
    <n v="4500.33925"/>
  </r>
  <r>
    <x v="5"/>
    <x v="1"/>
    <n v="25.9"/>
    <x v="0"/>
    <n v="3"/>
    <x v="0"/>
    <x v="0"/>
    <n v="19199.944"/>
  </r>
  <r>
    <x v="13"/>
    <x v="0"/>
    <n v="30.59"/>
    <x v="1"/>
    <n v="1"/>
    <x v="1"/>
    <x v="3"/>
    <n v="16796.411940000002"/>
  </r>
  <r>
    <x v="34"/>
    <x v="1"/>
    <n v="30.114999999999998"/>
    <x v="1"/>
    <n v="5"/>
    <x v="1"/>
    <x v="3"/>
    <n v="4915.0598499999996"/>
  </r>
  <r>
    <x v="36"/>
    <x v="0"/>
    <n v="25.8"/>
    <x v="0"/>
    <n v="1"/>
    <x v="1"/>
    <x v="0"/>
    <n v="7624.63"/>
  </r>
  <r>
    <x v="32"/>
    <x v="1"/>
    <n v="30.114999999999998"/>
    <x v="1"/>
    <n v="3"/>
    <x v="1"/>
    <x v="2"/>
    <n v="8410.0468500000006"/>
  </r>
  <r>
    <x v="39"/>
    <x v="0"/>
    <n v="27.645"/>
    <x v="0"/>
    <n v="1"/>
    <x v="1"/>
    <x v="2"/>
    <n v="28340.188849999999"/>
  </r>
  <r>
    <x v="16"/>
    <x v="1"/>
    <n v="34.674999999999997"/>
    <x v="1"/>
    <n v="0"/>
    <x v="1"/>
    <x v="3"/>
    <n v="4518.8262500000001"/>
  </r>
  <r>
    <x v="23"/>
    <x v="0"/>
    <n v="20.52"/>
    <x v="2"/>
    <n v="0"/>
    <x v="0"/>
    <x v="3"/>
    <n v="14571.890799999999"/>
  </r>
  <r>
    <x v="21"/>
    <x v="0"/>
    <n v="19.8"/>
    <x v="2"/>
    <n v="1"/>
    <x v="1"/>
    <x v="0"/>
    <n v="3378.91"/>
  </r>
  <r>
    <x v="25"/>
    <x v="0"/>
    <n v="27.835000000000001"/>
    <x v="0"/>
    <n v="2"/>
    <x v="1"/>
    <x v="3"/>
    <n v="7144.86265"/>
  </r>
  <r>
    <x v="45"/>
    <x v="0"/>
    <n v="31.6"/>
    <x v="1"/>
    <n v="2"/>
    <x v="1"/>
    <x v="0"/>
    <n v="10118.424000000001"/>
  </r>
  <r>
    <x v="25"/>
    <x v="1"/>
    <n v="28.27"/>
    <x v="0"/>
    <n v="1"/>
    <x v="1"/>
    <x v="1"/>
    <n v="5484.4673000000003"/>
  </r>
  <r>
    <x v="13"/>
    <x v="0"/>
    <n v="20.045000000000002"/>
    <x v="2"/>
    <n v="3"/>
    <x v="0"/>
    <x v="2"/>
    <n v="16420.494549999999"/>
  </r>
  <r>
    <x v="46"/>
    <x v="0"/>
    <n v="23.274999999999999"/>
    <x v="2"/>
    <n v="3"/>
    <x v="1"/>
    <x v="3"/>
    <n v="7986.4752500000004"/>
  </r>
  <r>
    <x v="46"/>
    <x v="0"/>
    <n v="34.1"/>
    <x v="1"/>
    <n v="3"/>
    <x v="1"/>
    <x v="0"/>
    <n v="7418.5219999999999"/>
  </r>
  <r>
    <x v="18"/>
    <x v="0"/>
    <n v="36.85"/>
    <x v="1"/>
    <n v="0"/>
    <x v="1"/>
    <x v="1"/>
    <n v="13887.968500000001"/>
  </r>
  <r>
    <x v="3"/>
    <x v="0"/>
    <n v="36.29"/>
    <x v="1"/>
    <n v="3"/>
    <x v="1"/>
    <x v="3"/>
    <n v="6551.7501000000002"/>
  </r>
  <r>
    <x v="26"/>
    <x v="0"/>
    <n v="26.885000000000002"/>
    <x v="0"/>
    <n v="0"/>
    <x v="1"/>
    <x v="2"/>
    <n v="5267.8181500000001"/>
  </r>
  <r>
    <x v="15"/>
    <x v="1"/>
    <n v="22.99"/>
    <x v="2"/>
    <n v="2"/>
    <x v="0"/>
    <x v="2"/>
    <n v="17361.766100000001"/>
  </r>
  <r>
    <x v="23"/>
    <x v="1"/>
    <n v="32.700000000000003"/>
    <x v="1"/>
    <n v="0"/>
    <x v="0"/>
    <x v="0"/>
    <n v="34472.841"/>
  </r>
  <r>
    <x v="23"/>
    <x v="1"/>
    <n v="25.8"/>
    <x v="0"/>
    <n v="0"/>
    <x v="1"/>
    <x v="0"/>
    <n v="1972.95"/>
  </r>
  <r>
    <x v="28"/>
    <x v="1"/>
    <n v="29.6"/>
    <x v="0"/>
    <n v="0"/>
    <x v="1"/>
    <x v="0"/>
    <n v="21232.182260000001"/>
  </r>
  <r>
    <x v="42"/>
    <x v="1"/>
    <n v="19.190000000000001"/>
    <x v="2"/>
    <n v="1"/>
    <x v="1"/>
    <x v="3"/>
    <n v="8627.5411000000004"/>
  </r>
  <r>
    <x v="38"/>
    <x v="1"/>
    <n v="31.73"/>
    <x v="1"/>
    <n v="2"/>
    <x v="1"/>
    <x v="2"/>
    <n v="4433.3877000000002"/>
  </r>
  <r>
    <x v="2"/>
    <x v="1"/>
    <n v="29.26"/>
    <x v="0"/>
    <n v="2"/>
    <x v="1"/>
    <x v="3"/>
    <n v="4438.2633999999998"/>
  </r>
  <r>
    <x v="42"/>
    <x v="1"/>
    <n v="28.215"/>
    <x v="0"/>
    <n v="3"/>
    <x v="0"/>
    <x v="2"/>
    <n v="24915.220850000002"/>
  </r>
  <r>
    <x v="9"/>
    <x v="1"/>
    <n v="24.984999999999999"/>
    <x v="0"/>
    <n v="2"/>
    <x v="1"/>
    <x v="3"/>
    <n v="23241.47453"/>
  </r>
  <r>
    <x v="43"/>
    <x v="1"/>
    <n v="27.74"/>
    <x v="0"/>
    <n v="1"/>
    <x v="1"/>
    <x v="3"/>
    <n v="9957.7216000000008"/>
  </r>
  <r>
    <x v="28"/>
    <x v="0"/>
    <n v="22.8"/>
    <x v="2"/>
    <n v="0"/>
    <x v="1"/>
    <x v="0"/>
    <n v="8269.0439999999999"/>
  </r>
  <r>
    <x v="32"/>
    <x v="1"/>
    <n v="20.13"/>
    <x v="2"/>
    <n v="2"/>
    <x v="0"/>
    <x v="1"/>
    <n v="18767.737700000001"/>
  </r>
  <r>
    <x v="35"/>
    <x v="0"/>
    <n v="33.33"/>
    <x v="1"/>
    <n v="4"/>
    <x v="1"/>
    <x v="1"/>
    <n v="36580.282160000002"/>
  </r>
  <r>
    <x v="28"/>
    <x v="1"/>
    <n v="32.299999999999997"/>
    <x v="1"/>
    <n v="1"/>
    <x v="1"/>
    <x v="2"/>
    <n v="8765.2489999999998"/>
  </r>
  <r>
    <x v="25"/>
    <x v="0"/>
    <n v="27.6"/>
    <x v="0"/>
    <n v="0"/>
    <x v="1"/>
    <x v="0"/>
    <n v="5383.5360000000001"/>
  </r>
  <r>
    <x v="17"/>
    <x v="1"/>
    <n v="25.46"/>
    <x v="0"/>
    <n v="0"/>
    <x v="1"/>
    <x v="2"/>
    <n v="12124.992399999999"/>
  </r>
  <r>
    <x v="0"/>
    <x v="0"/>
    <n v="24.605"/>
    <x v="2"/>
    <n v="1"/>
    <x v="1"/>
    <x v="2"/>
    <n v="2709.24395"/>
  </r>
  <r>
    <x v="21"/>
    <x v="0"/>
    <n v="34.200000000000003"/>
    <x v="1"/>
    <n v="2"/>
    <x v="1"/>
    <x v="0"/>
    <n v="3987.9259999999999"/>
  </r>
  <r>
    <x v="40"/>
    <x v="0"/>
    <n v="35.814999999999998"/>
    <x v="1"/>
    <n v="3"/>
    <x v="1"/>
    <x v="2"/>
    <n v="12495.290849999999"/>
  </r>
  <r>
    <x v="27"/>
    <x v="0"/>
    <n v="32.68"/>
    <x v="1"/>
    <n v="2"/>
    <x v="1"/>
    <x v="2"/>
    <n v="26018.950519999999"/>
  </r>
  <r>
    <x v="43"/>
    <x v="1"/>
    <n v="37"/>
    <x v="1"/>
    <n v="0"/>
    <x v="1"/>
    <x v="0"/>
    <n v="8798.5930000000008"/>
  </r>
  <r>
    <x v="20"/>
    <x v="0"/>
    <n v="31.02"/>
    <x v="1"/>
    <n v="3"/>
    <x v="0"/>
    <x v="1"/>
    <n v="35595.589800000002"/>
  </r>
  <r>
    <x v="42"/>
    <x v="1"/>
    <n v="36.08"/>
    <x v="1"/>
    <n v="1"/>
    <x v="0"/>
    <x v="1"/>
    <n v="42211.138200000001"/>
  </r>
  <r>
    <x v="1"/>
    <x v="1"/>
    <n v="23.32"/>
    <x v="2"/>
    <n v="1"/>
    <x v="1"/>
    <x v="1"/>
    <n v="1711.0268000000001"/>
  </r>
  <r>
    <x v="42"/>
    <x v="0"/>
    <n v="45.32"/>
    <x v="1"/>
    <n v="1"/>
    <x v="1"/>
    <x v="1"/>
    <n v="8569.8618000000006"/>
  </r>
  <r>
    <x v="27"/>
    <x v="0"/>
    <n v="34.6"/>
    <x v="1"/>
    <n v="0"/>
    <x v="1"/>
    <x v="0"/>
    <n v="2020.1769999999999"/>
  </r>
  <r>
    <x v="0"/>
    <x v="1"/>
    <n v="26.03"/>
    <x v="0"/>
    <n v="1"/>
    <x v="0"/>
    <x v="2"/>
    <n v="16450.894700000001"/>
  </r>
  <r>
    <x v="11"/>
    <x v="1"/>
    <n v="18.715"/>
    <x v="2"/>
    <n v="0"/>
    <x v="1"/>
    <x v="2"/>
    <n v="21595.382290000001"/>
  </r>
  <r>
    <x v="40"/>
    <x v="1"/>
    <n v="31.6"/>
    <x v="1"/>
    <n v="0"/>
    <x v="1"/>
    <x v="0"/>
    <n v="9850.4320000000007"/>
  </r>
  <r>
    <x v="7"/>
    <x v="0"/>
    <n v="17.29"/>
    <x v="3"/>
    <n v="2"/>
    <x v="1"/>
    <x v="3"/>
    <n v="6877.9800999999998"/>
  </r>
  <r>
    <x v="6"/>
    <x v="0"/>
    <n v="23.655000000000001"/>
    <x v="2"/>
    <n v="1"/>
    <x v="0"/>
    <x v="2"/>
    <n v="21677.283449999999"/>
  </r>
  <r>
    <x v="19"/>
    <x v="0"/>
    <n v="35.200000000000003"/>
    <x v="1"/>
    <n v="0"/>
    <x v="0"/>
    <x v="1"/>
    <n v="44423.803"/>
  </r>
  <r>
    <x v="15"/>
    <x v="0"/>
    <n v="27.93"/>
    <x v="0"/>
    <n v="0"/>
    <x v="1"/>
    <x v="3"/>
    <n v="4137.5227000000004"/>
  </r>
  <r>
    <x v="1"/>
    <x v="1"/>
    <n v="21.565000000000001"/>
    <x v="2"/>
    <n v="0"/>
    <x v="0"/>
    <x v="3"/>
    <n v="13747.87235"/>
  </r>
  <r>
    <x v="35"/>
    <x v="1"/>
    <n v="38.380000000000003"/>
    <x v="1"/>
    <n v="0"/>
    <x v="1"/>
    <x v="2"/>
    <n v="12950.0712"/>
  </r>
  <r>
    <x v="40"/>
    <x v="0"/>
    <n v="23"/>
    <x v="2"/>
    <n v="3"/>
    <x v="1"/>
    <x v="0"/>
    <n v="12094.477999999999"/>
  </r>
  <r>
    <x v="20"/>
    <x v="1"/>
    <n v="37.07"/>
    <x v="1"/>
    <n v="2"/>
    <x v="0"/>
    <x v="1"/>
    <n v="37484.4493"/>
  </r>
  <r>
    <x v="39"/>
    <x v="0"/>
    <n v="30.495000000000001"/>
    <x v="1"/>
    <n v="1"/>
    <x v="0"/>
    <x v="2"/>
    <n v="39725.518049999999"/>
  </r>
  <r>
    <x v="20"/>
    <x v="1"/>
    <n v="28.88"/>
    <x v="0"/>
    <n v="0"/>
    <x v="1"/>
    <x v="3"/>
    <n v="2250.8352"/>
  </r>
  <r>
    <x v="0"/>
    <x v="1"/>
    <n v="27.265000000000001"/>
    <x v="0"/>
    <n v="2"/>
    <x v="1"/>
    <x v="2"/>
    <n v="22493.659640000002"/>
  </r>
  <r>
    <x v="22"/>
    <x v="0"/>
    <n v="28.024999999999999"/>
    <x v="0"/>
    <n v="0"/>
    <x v="0"/>
    <x v="2"/>
    <n v="20234.854749999999"/>
  </r>
  <r>
    <x v="1"/>
    <x v="1"/>
    <n v="23.085000000000001"/>
    <x v="2"/>
    <n v="0"/>
    <x v="1"/>
    <x v="3"/>
    <n v="1704.7001499999999"/>
  </r>
  <r>
    <x v="34"/>
    <x v="1"/>
    <n v="30.684999999999999"/>
    <x v="1"/>
    <n v="0"/>
    <x v="0"/>
    <x v="3"/>
    <n v="33475.817150000003"/>
  </r>
  <r>
    <x v="2"/>
    <x v="0"/>
    <n v="25.8"/>
    <x v="0"/>
    <n v="0"/>
    <x v="1"/>
    <x v="0"/>
    <n v="3161.4540000000002"/>
  </r>
  <r>
    <x v="19"/>
    <x v="1"/>
    <n v="35.244999999999997"/>
    <x v="1"/>
    <n v="1"/>
    <x v="1"/>
    <x v="3"/>
    <n v="11394.065549999999"/>
  </r>
  <r>
    <x v="32"/>
    <x v="0"/>
    <n v="24.7"/>
    <x v="2"/>
    <n v="2"/>
    <x v="0"/>
    <x v="2"/>
    <n v="21880.82"/>
  </r>
  <r>
    <x v="32"/>
    <x v="0"/>
    <n v="25.08"/>
    <x v="0"/>
    <n v="0"/>
    <x v="1"/>
    <x v="3"/>
    <n v="7325.0482000000002"/>
  </r>
  <r>
    <x v="20"/>
    <x v="1"/>
    <n v="52.58"/>
    <x v="1"/>
    <n v="1"/>
    <x v="0"/>
    <x v="1"/>
    <n v="44501.398200000003"/>
  </r>
  <r>
    <x v="9"/>
    <x v="0"/>
    <n v="22.515000000000001"/>
    <x v="2"/>
    <n v="1"/>
    <x v="1"/>
    <x v="2"/>
    <n v="3594.17085"/>
  </r>
  <r>
    <x v="41"/>
    <x v="1"/>
    <n v="30.9"/>
    <x v="1"/>
    <n v="0"/>
    <x v="0"/>
    <x v="0"/>
    <n v="39727.614000000001"/>
  </r>
  <r>
    <x v="36"/>
    <x v="0"/>
    <n v="36.954999999999998"/>
    <x v="1"/>
    <n v="1"/>
    <x v="1"/>
    <x v="2"/>
    <n v="8023.1354499999998"/>
  </r>
  <r>
    <x v="33"/>
    <x v="1"/>
    <n v="26.41"/>
    <x v="0"/>
    <n v="0"/>
    <x v="1"/>
    <x v="3"/>
    <n v="14394.5579"/>
  </r>
  <r>
    <x v="41"/>
    <x v="1"/>
    <n v="29.83"/>
    <x v="0"/>
    <n v="1"/>
    <x v="1"/>
    <x v="3"/>
    <n v="9288.0267000000003"/>
  </r>
  <r>
    <x v="42"/>
    <x v="1"/>
    <n v="29.8"/>
    <x v="0"/>
    <n v="3"/>
    <x v="0"/>
    <x v="0"/>
    <n v="25309.489000000001"/>
  </r>
  <r>
    <x v="13"/>
    <x v="0"/>
    <n v="21.47"/>
    <x v="2"/>
    <n v="0"/>
    <x v="1"/>
    <x v="2"/>
    <n v="3353.4703"/>
  </r>
  <r>
    <x v="19"/>
    <x v="1"/>
    <n v="27.645"/>
    <x v="0"/>
    <n v="0"/>
    <x v="1"/>
    <x v="2"/>
    <n v="10594.501550000001"/>
  </r>
  <r>
    <x v="28"/>
    <x v="0"/>
    <n v="28.9"/>
    <x v="0"/>
    <n v="0"/>
    <x v="1"/>
    <x v="0"/>
    <n v="8277.5229999999992"/>
  </r>
  <r>
    <x v="39"/>
    <x v="0"/>
    <n v="31.79"/>
    <x v="1"/>
    <n v="0"/>
    <x v="1"/>
    <x v="1"/>
    <n v="17929.303370000001"/>
  </r>
  <r>
    <x v="23"/>
    <x v="0"/>
    <n v="39.49"/>
    <x v="1"/>
    <n v="0"/>
    <x v="1"/>
    <x v="1"/>
    <n v="2480.9791"/>
  </r>
  <r>
    <x v="4"/>
    <x v="1"/>
    <n v="33.82"/>
    <x v="1"/>
    <n v="1"/>
    <x v="1"/>
    <x v="2"/>
    <n v="4462.7218000000003"/>
  </r>
  <r>
    <x v="23"/>
    <x v="1"/>
    <n v="32.01"/>
    <x v="1"/>
    <n v="0"/>
    <x v="1"/>
    <x v="1"/>
    <n v="1981.5818999999999"/>
  </r>
  <r>
    <x v="37"/>
    <x v="1"/>
    <n v="27.94"/>
    <x v="0"/>
    <n v="1"/>
    <x v="1"/>
    <x v="1"/>
    <n v="11554.223599999999"/>
  </r>
  <r>
    <x v="17"/>
    <x v="1"/>
    <n v="41.14"/>
    <x v="1"/>
    <n v="1"/>
    <x v="0"/>
    <x v="1"/>
    <n v="48970.247600000002"/>
  </r>
  <r>
    <x v="26"/>
    <x v="1"/>
    <n v="28.594999999999999"/>
    <x v="0"/>
    <n v="3"/>
    <x v="1"/>
    <x v="2"/>
    <n v="6548.1950500000003"/>
  </r>
  <r>
    <x v="38"/>
    <x v="0"/>
    <n v="25.6"/>
    <x v="0"/>
    <n v="4"/>
    <x v="1"/>
    <x v="0"/>
    <n v="5708.8670000000002"/>
  </r>
  <r>
    <x v="44"/>
    <x v="0"/>
    <n v="25.3"/>
    <x v="0"/>
    <n v="1"/>
    <x v="1"/>
    <x v="0"/>
    <n v="7045.4989999999998"/>
  </r>
  <r>
    <x v="28"/>
    <x v="1"/>
    <n v="37.29"/>
    <x v="1"/>
    <n v="2"/>
    <x v="1"/>
    <x v="1"/>
    <n v="8978.1851000000006"/>
  </r>
  <r>
    <x v="46"/>
    <x v="1"/>
    <n v="42.655000000000001"/>
    <x v="1"/>
    <n v="0"/>
    <x v="1"/>
    <x v="3"/>
    <n v="5757.41345"/>
  </r>
  <r>
    <x v="18"/>
    <x v="1"/>
    <n v="21.66"/>
    <x v="2"/>
    <n v="1"/>
    <x v="1"/>
    <x v="2"/>
    <n v="14349.8544"/>
  </r>
  <r>
    <x v="40"/>
    <x v="0"/>
    <n v="31.9"/>
    <x v="1"/>
    <n v="1"/>
    <x v="1"/>
    <x v="1"/>
    <n v="10928.849"/>
  </r>
  <r>
    <x v="7"/>
    <x v="1"/>
    <n v="37.07"/>
    <x v="1"/>
    <n v="1"/>
    <x v="0"/>
    <x v="1"/>
    <n v="39871.704299999998"/>
  </r>
  <r>
    <x v="18"/>
    <x v="1"/>
    <n v="31.445"/>
    <x v="1"/>
    <n v="0"/>
    <x v="1"/>
    <x v="3"/>
    <n v="13974.455550000001"/>
  </r>
  <r>
    <x v="27"/>
    <x v="1"/>
    <n v="31.254999999999999"/>
    <x v="1"/>
    <n v="0"/>
    <x v="1"/>
    <x v="2"/>
    <n v="1909.52745"/>
  </r>
  <r>
    <x v="40"/>
    <x v="0"/>
    <n v="28.88"/>
    <x v="0"/>
    <n v="2"/>
    <x v="1"/>
    <x v="3"/>
    <n v="12096.6512"/>
  </r>
  <r>
    <x v="8"/>
    <x v="0"/>
    <n v="18.335000000000001"/>
    <x v="3"/>
    <n v="0"/>
    <x v="1"/>
    <x v="3"/>
    <n v="13204.28565"/>
  </r>
  <r>
    <x v="4"/>
    <x v="0"/>
    <n v="29.59"/>
    <x v="0"/>
    <n v="1"/>
    <x v="1"/>
    <x v="1"/>
    <n v="4562.8420999999998"/>
  </r>
  <r>
    <x v="42"/>
    <x v="0"/>
    <n v="32"/>
    <x v="1"/>
    <n v="1"/>
    <x v="1"/>
    <x v="0"/>
    <n v="8551.3469999999998"/>
  </r>
  <r>
    <x v="27"/>
    <x v="1"/>
    <n v="26.03"/>
    <x v="0"/>
    <n v="0"/>
    <x v="1"/>
    <x v="3"/>
    <n v="2102.2647000000002"/>
  </r>
  <r>
    <x v="2"/>
    <x v="1"/>
    <n v="31.68"/>
    <x v="1"/>
    <n v="0"/>
    <x v="0"/>
    <x v="1"/>
    <n v="34672.147199999999"/>
  </r>
  <r>
    <x v="18"/>
    <x v="1"/>
    <n v="33.659999999999997"/>
    <x v="1"/>
    <n v="3"/>
    <x v="1"/>
    <x v="1"/>
    <n v="15161.5344"/>
  </r>
  <r>
    <x v="1"/>
    <x v="1"/>
    <n v="21.78"/>
    <x v="2"/>
    <n v="2"/>
    <x v="1"/>
    <x v="1"/>
    <n v="11884.048580000001"/>
  </r>
  <r>
    <x v="4"/>
    <x v="1"/>
    <n v="27.835000000000001"/>
    <x v="0"/>
    <n v="1"/>
    <x v="1"/>
    <x v="2"/>
    <n v="4454.40265"/>
  </r>
  <r>
    <x v="25"/>
    <x v="1"/>
    <n v="19.95"/>
    <x v="2"/>
    <n v="1"/>
    <x v="1"/>
    <x v="2"/>
    <n v="5855.9025000000001"/>
  </r>
  <r>
    <x v="4"/>
    <x v="1"/>
    <n v="31.5"/>
    <x v="1"/>
    <n v="1"/>
    <x v="1"/>
    <x v="0"/>
    <n v="4076.4969999999998"/>
  </r>
  <r>
    <x v="10"/>
    <x v="0"/>
    <n v="30.495000000000001"/>
    <x v="1"/>
    <n v="2"/>
    <x v="1"/>
    <x v="2"/>
    <n v="15019.760050000001"/>
  </r>
  <r>
    <x v="46"/>
    <x v="0"/>
    <n v="18.3"/>
    <x v="3"/>
    <n v="5"/>
    <x v="0"/>
    <x v="0"/>
    <n v="19023.259999999998"/>
  </r>
  <r>
    <x v="19"/>
    <x v="1"/>
    <n v="28.975000000000001"/>
    <x v="0"/>
    <n v="0"/>
    <x v="1"/>
    <x v="3"/>
    <n v="10796.35025"/>
  </r>
  <r>
    <x v="37"/>
    <x v="1"/>
    <n v="31.54"/>
    <x v="1"/>
    <n v="0"/>
    <x v="1"/>
    <x v="2"/>
    <n v="11353.2276"/>
  </r>
  <r>
    <x v="14"/>
    <x v="1"/>
    <n v="47.74"/>
    <x v="1"/>
    <n v="1"/>
    <x v="1"/>
    <x v="1"/>
    <n v="9748.9105999999992"/>
  </r>
  <r>
    <x v="12"/>
    <x v="1"/>
    <n v="22.1"/>
    <x v="2"/>
    <n v="0"/>
    <x v="1"/>
    <x v="0"/>
    <n v="10577.087"/>
  </r>
  <r>
    <x v="42"/>
    <x v="1"/>
    <n v="36.19"/>
    <x v="1"/>
    <n v="0"/>
    <x v="0"/>
    <x v="1"/>
    <n v="41676.081100000003"/>
  </r>
  <r>
    <x v="19"/>
    <x v="0"/>
    <n v="29.83"/>
    <x v="0"/>
    <n v="0"/>
    <x v="1"/>
    <x v="3"/>
    <n v="11286.538699999999"/>
  </r>
  <r>
    <x v="11"/>
    <x v="1"/>
    <n v="32.700000000000003"/>
    <x v="1"/>
    <n v="3"/>
    <x v="1"/>
    <x v="0"/>
    <n v="3591.48"/>
  </r>
  <r>
    <x v="20"/>
    <x v="0"/>
    <n v="30.4"/>
    <x v="1"/>
    <n v="0"/>
    <x v="0"/>
    <x v="2"/>
    <n v="33907.548000000003"/>
  </r>
  <r>
    <x v="45"/>
    <x v="0"/>
    <n v="33.700000000000003"/>
    <x v="1"/>
    <n v="4"/>
    <x v="1"/>
    <x v="0"/>
    <n v="11299.343000000001"/>
  </r>
  <r>
    <x v="1"/>
    <x v="0"/>
    <n v="31.35"/>
    <x v="1"/>
    <n v="4"/>
    <x v="1"/>
    <x v="3"/>
    <n v="4561.1885000000002"/>
  </r>
  <r>
    <x v="43"/>
    <x v="0"/>
    <n v="34.96"/>
    <x v="1"/>
    <n v="2"/>
    <x v="0"/>
    <x v="3"/>
    <n v="44641.197399999997"/>
  </r>
  <r>
    <x v="20"/>
    <x v="1"/>
    <n v="33.770000000000003"/>
    <x v="1"/>
    <n v="0"/>
    <x v="1"/>
    <x v="1"/>
    <n v="1674.6323"/>
  </r>
  <r>
    <x v="14"/>
    <x v="0"/>
    <n v="30.875"/>
    <x v="1"/>
    <n v="0"/>
    <x v="1"/>
    <x v="3"/>
    <n v="23045.566159999998"/>
  </r>
  <r>
    <x v="9"/>
    <x v="0"/>
    <n v="33.99"/>
    <x v="1"/>
    <n v="1"/>
    <x v="1"/>
    <x v="1"/>
    <n v="3227.1210999999998"/>
  </r>
  <r>
    <x v="3"/>
    <x v="0"/>
    <n v="19.094999999999999"/>
    <x v="2"/>
    <n v="2"/>
    <x v="0"/>
    <x v="3"/>
    <n v="16776.304049999999"/>
  </r>
  <r>
    <x v="31"/>
    <x v="1"/>
    <n v="28.6"/>
    <x v="0"/>
    <n v="3"/>
    <x v="1"/>
    <x v="0"/>
    <n v="11253.421"/>
  </r>
  <r>
    <x v="38"/>
    <x v="1"/>
    <n v="38.94"/>
    <x v="1"/>
    <n v="1"/>
    <x v="1"/>
    <x v="1"/>
    <n v="3471.4096"/>
  </r>
  <r>
    <x v="30"/>
    <x v="1"/>
    <n v="36.08"/>
    <x v="1"/>
    <n v="0"/>
    <x v="1"/>
    <x v="1"/>
    <n v="11363.2832"/>
  </r>
  <r>
    <x v="7"/>
    <x v="1"/>
    <n v="29.8"/>
    <x v="0"/>
    <n v="0"/>
    <x v="1"/>
    <x v="0"/>
    <n v="20420.604650000001"/>
  </r>
  <r>
    <x v="40"/>
    <x v="0"/>
    <n v="31.24"/>
    <x v="1"/>
    <n v="0"/>
    <x v="1"/>
    <x v="1"/>
    <n v="10338.9316"/>
  </r>
  <r>
    <x v="41"/>
    <x v="0"/>
    <n v="29.925000000000001"/>
    <x v="0"/>
    <n v="0"/>
    <x v="1"/>
    <x v="2"/>
    <n v="8988.1587500000005"/>
  </r>
  <r>
    <x v="45"/>
    <x v="0"/>
    <n v="26.22"/>
    <x v="0"/>
    <n v="2"/>
    <x v="1"/>
    <x v="2"/>
    <n v="10493.9458"/>
  </r>
  <r>
    <x v="21"/>
    <x v="1"/>
    <n v="30"/>
    <x v="1"/>
    <n v="1"/>
    <x v="1"/>
    <x v="0"/>
    <n v="2904.0880000000002"/>
  </r>
  <r>
    <x v="39"/>
    <x v="1"/>
    <n v="20.350000000000001"/>
    <x v="2"/>
    <n v="3"/>
    <x v="1"/>
    <x v="1"/>
    <n v="8605.3615000000009"/>
  </r>
  <r>
    <x v="40"/>
    <x v="0"/>
    <n v="32.299999999999997"/>
    <x v="1"/>
    <n v="1"/>
    <x v="1"/>
    <x v="3"/>
    <n v="11512.405000000001"/>
  </r>
  <r>
    <x v="25"/>
    <x v="1"/>
    <n v="38.39"/>
    <x v="1"/>
    <n v="3"/>
    <x v="0"/>
    <x v="1"/>
    <n v="41949.244100000004"/>
  </r>
  <r>
    <x v="28"/>
    <x v="0"/>
    <n v="25.85"/>
    <x v="0"/>
    <n v="3"/>
    <x v="0"/>
    <x v="1"/>
    <n v="24180.933499999999"/>
  </r>
  <r>
    <x v="2"/>
    <x v="0"/>
    <n v="26.315000000000001"/>
    <x v="0"/>
    <n v="3"/>
    <x v="1"/>
    <x v="2"/>
    <n v="5312.1698500000002"/>
  </r>
  <r>
    <x v="11"/>
    <x v="1"/>
    <n v="24.51"/>
    <x v="2"/>
    <n v="0"/>
    <x v="1"/>
    <x v="3"/>
    <n v="2396.0958999999998"/>
  </r>
  <r>
    <x v="19"/>
    <x v="1"/>
    <n v="32.67"/>
    <x v="1"/>
    <n v="1"/>
    <x v="1"/>
    <x v="1"/>
    <n v="10807.4863"/>
  </r>
  <r>
    <x v="24"/>
    <x v="1"/>
    <n v="29.64"/>
    <x v="0"/>
    <n v="5"/>
    <x v="1"/>
    <x v="3"/>
    <n v="9222.4025999999994"/>
  </r>
  <r>
    <x v="9"/>
    <x v="1"/>
    <n v="33.33"/>
    <x v="1"/>
    <n v="2"/>
    <x v="0"/>
    <x v="1"/>
    <n v="36124.573700000001"/>
  </r>
  <r>
    <x v="3"/>
    <x v="1"/>
    <n v="35.75"/>
    <x v="1"/>
    <n v="1"/>
    <x v="0"/>
    <x v="1"/>
    <n v="38282.749499999998"/>
  </r>
  <r>
    <x v="15"/>
    <x v="0"/>
    <n v="19.95"/>
    <x v="2"/>
    <n v="3"/>
    <x v="1"/>
    <x v="2"/>
    <n v="5693.4305000000004"/>
  </r>
  <r>
    <x v="11"/>
    <x v="0"/>
    <n v="31.4"/>
    <x v="1"/>
    <n v="0"/>
    <x v="0"/>
    <x v="0"/>
    <n v="34166.273000000001"/>
  </r>
  <r>
    <x v="6"/>
    <x v="1"/>
    <n v="38.17"/>
    <x v="1"/>
    <n v="2"/>
    <x v="1"/>
    <x v="1"/>
    <n v="8347.1643000000004"/>
  </r>
  <r>
    <x v="31"/>
    <x v="0"/>
    <n v="36.86"/>
    <x v="1"/>
    <n v="3"/>
    <x v="0"/>
    <x v="2"/>
    <n v="46661.4424"/>
  </r>
  <r>
    <x v="13"/>
    <x v="0"/>
    <n v="32.395000000000003"/>
    <x v="1"/>
    <n v="1"/>
    <x v="1"/>
    <x v="3"/>
    <n v="18903.491409999999"/>
  </r>
  <r>
    <x v="11"/>
    <x v="0"/>
    <n v="42.75"/>
    <x v="1"/>
    <n v="1"/>
    <x v="0"/>
    <x v="3"/>
    <n v="40904.199500000002"/>
  </r>
  <r>
    <x v="18"/>
    <x v="0"/>
    <n v="25.08"/>
    <x v="0"/>
    <n v="0"/>
    <x v="1"/>
    <x v="2"/>
    <n v="14254.608200000001"/>
  </r>
  <r>
    <x v="19"/>
    <x v="1"/>
    <n v="29.9"/>
    <x v="0"/>
    <n v="0"/>
    <x v="1"/>
    <x v="0"/>
    <n v="10214.636"/>
  </r>
  <r>
    <x v="22"/>
    <x v="0"/>
    <n v="35.86"/>
    <x v="1"/>
    <n v="2"/>
    <x v="1"/>
    <x v="1"/>
    <n v="5836.5204000000003"/>
  </r>
  <r>
    <x v="16"/>
    <x v="1"/>
    <n v="32.799999999999997"/>
    <x v="1"/>
    <n v="1"/>
    <x v="1"/>
    <x v="0"/>
    <n v="14358.364369999999"/>
  </r>
  <r>
    <x v="0"/>
    <x v="0"/>
    <n v="18.600000000000001"/>
    <x v="2"/>
    <n v="0"/>
    <x v="1"/>
    <x v="0"/>
    <n v="1728.8969999999999"/>
  </r>
  <r>
    <x v="46"/>
    <x v="0"/>
    <n v="23.87"/>
    <x v="2"/>
    <n v="5"/>
    <x v="1"/>
    <x v="1"/>
    <n v="8582.3022999999994"/>
  </r>
  <r>
    <x v="13"/>
    <x v="1"/>
    <n v="45.9"/>
    <x v="1"/>
    <n v="2"/>
    <x v="1"/>
    <x v="0"/>
    <n v="3693.4279999999999"/>
  </r>
  <r>
    <x v="37"/>
    <x v="1"/>
    <n v="40.28"/>
    <x v="1"/>
    <n v="0"/>
    <x v="1"/>
    <x v="3"/>
    <n v="20709.020339999999"/>
  </r>
  <r>
    <x v="14"/>
    <x v="0"/>
    <n v="18.335000000000001"/>
    <x v="3"/>
    <n v="0"/>
    <x v="1"/>
    <x v="2"/>
    <n v="9991.0376500000002"/>
  </r>
  <r>
    <x v="2"/>
    <x v="1"/>
    <n v="33.82"/>
    <x v="1"/>
    <n v="0"/>
    <x v="1"/>
    <x v="2"/>
    <n v="19673.335729999999"/>
  </r>
  <r>
    <x v="45"/>
    <x v="0"/>
    <n v="28.12"/>
    <x v="0"/>
    <n v="3"/>
    <x v="1"/>
    <x v="2"/>
    <n v="11085.586799999999"/>
  </r>
  <r>
    <x v="36"/>
    <x v="0"/>
    <n v="25"/>
    <x v="0"/>
    <n v="1"/>
    <x v="1"/>
    <x v="0"/>
    <n v="7623.518"/>
  </r>
  <r>
    <x v="21"/>
    <x v="0"/>
    <n v="22.23"/>
    <x v="2"/>
    <n v="0"/>
    <x v="1"/>
    <x v="2"/>
    <n v="3176.2876999999999"/>
  </r>
  <r>
    <x v="3"/>
    <x v="1"/>
    <n v="30.25"/>
    <x v="1"/>
    <n v="0"/>
    <x v="1"/>
    <x v="1"/>
    <n v="3704.3544999999999"/>
  </r>
  <r>
    <x v="0"/>
    <x v="0"/>
    <n v="32.49"/>
    <x v="1"/>
    <n v="0"/>
    <x v="0"/>
    <x v="2"/>
    <n v="36898.733079999998"/>
  </r>
  <r>
    <x v="45"/>
    <x v="1"/>
    <n v="37.07"/>
    <x v="1"/>
    <n v="1"/>
    <x v="1"/>
    <x v="1"/>
    <n v="9048.0272999999997"/>
  </r>
  <r>
    <x v="24"/>
    <x v="0"/>
    <n v="32.6"/>
    <x v="1"/>
    <n v="3"/>
    <x v="1"/>
    <x v="0"/>
    <n v="7954.5169999999998"/>
  </r>
  <r>
    <x v="14"/>
    <x v="0"/>
    <n v="24.86"/>
    <x v="2"/>
    <n v="0"/>
    <x v="1"/>
    <x v="1"/>
    <n v="27117.993780000001"/>
  </r>
  <r>
    <x v="46"/>
    <x v="1"/>
    <n v="32.340000000000003"/>
    <x v="1"/>
    <n v="2"/>
    <x v="1"/>
    <x v="1"/>
    <n v="6338.0756000000001"/>
  </r>
  <r>
    <x v="45"/>
    <x v="1"/>
    <n v="32.299999999999997"/>
    <x v="1"/>
    <n v="2"/>
    <x v="1"/>
    <x v="0"/>
    <n v="9630.3970000000008"/>
  </r>
  <r>
    <x v="14"/>
    <x v="1"/>
    <n v="32.774999999999999"/>
    <x v="1"/>
    <n v="3"/>
    <x v="1"/>
    <x v="2"/>
    <n v="11289.10925"/>
  </r>
  <r>
    <x v="8"/>
    <x v="1"/>
    <n v="32.799999999999997"/>
    <x v="1"/>
    <n v="0"/>
    <x v="0"/>
    <x v="0"/>
    <n v="52590.829389999999"/>
  </r>
  <r>
    <x v="34"/>
    <x v="0"/>
    <n v="31.92"/>
    <x v="1"/>
    <n v="0"/>
    <x v="1"/>
    <x v="2"/>
    <n v="2261.5688"/>
  </r>
  <r>
    <x v="19"/>
    <x v="1"/>
    <n v="21.5"/>
    <x v="2"/>
    <n v="1"/>
    <x v="1"/>
    <x v="0"/>
    <n v="10791.96"/>
  </r>
  <r>
    <x v="44"/>
    <x v="1"/>
    <n v="34.1"/>
    <x v="1"/>
    <n v="0"/>
    <x v="1"/>
    <x v="0"/>
    <n v="5979.7309999999998"/>
  </r>
  <r>
    <x v="1"/>
    <x v="0"/>
    <n v="30.305"/>
    <x v="1"/>
    <n v="0"/>
    <x v="1"/>
    <x v="3"/>
    <n v="2203.7359499999998"/>
  </r>
  <r>
    <x v="30"/>
    <x v="0"/>
    <n v="36.479999999999997"/>
    <x v="1"/>
    <n v="0"/>
    <x v="1"/>
    <x v="2"/>
    <n v="12235.8392"/>
  </r>
  <r>
    <x v="32"/>
    <x v="0"/>
    <n v="32.56"/>
    <x v="1"/>
    <n v="3"/>
    <x v="0"/>
    <x v="1"/>
    <n v="40941.285400000001"/>
  </r>
  <r>
    <x v="22"/>
    <x v="0"/>
    <n v="35.814999999999998"/>
    <x v="1"/>
    <n v="1"/>
    <x v="1"/>
    <x v="2"/>
    <n v="5630.4578499999998"/>
  </r>
  <r>
    <x v="28"/>
    <x v="0"/>
    <n v="27.93"/>
    <x v="0"/>
    <n v="4"/>
    <x v="1"/>
    <x v="2"/>
    <n v="11015.1747"/>
  </r>
  <r>
    <x v="26"/>
    <x v="0"/>
    <n v="22.135000000000002"/>
    <x v="2"/>
    <n v="3"/>
    <x v="1"/>
    <x v="3"/>
    <n v="7228.2156500000001"/>
  </r>
  <r>
    <x v="0"/>
    <x v="1"/>
    <n v="44.88"/>
    <x v="1"/>
    <n v="0"/>
    <x v="0"/>
    <x v="1"/>
    <n v="39722.746200000001"/>
  </r>
  <r>
    <x v="11"/>
    <x v="0"/>
    <n v="23.18"/>
    <x v="2"/>
    <n v="2"/>
    <x v="1"/>
    <x v="2"/>
    <n v="14426.073850000001"/>
  </r>
  <r>
    <x v="34"/>
    <x v="0"/>
    <n v="30.59"/>
    <x v="1"/>
    <n v="0"/>
    <x v="1"/>
    <x v="3"/>
    <n v="2459.7201"/>
  </r>
  <r>
    <x v="4"/>
    <x v="0"/>
    <n v="41.1"/>
    <x v="1"/>
    <n v="0"/>
    <x v="1"/>
    <x v="0"/>
    <n v="3989.8409999999999"/>
  </r>
  <r>
    <x v="32"/>
    <x v="0"/>
    <n v="34.58"/>
    <x v="1"/>
    <n v="1"/>
    <x v="1"/>
    <x v="2"/>
    <n v="7727.2532000000001"/>
  </r>
  <r>
    <x v="16"/>
    <x v="1"/>
    <n v="42.13"/>
    <x v="1"/>
    <n v="2"/>
    <x v="1"/>
    <x v="1"/>
    <n v="5124.1886999999997"/>
  </r>
  <r>
    <x v="15"/>
    <x v="1"/>
    <n v="38.83"/>
    <x v="1"/>
    <n v="1"/>
    <x v="1"/>
    <x v="1"/>
    <n v="18963.171920000001"/>
  </r>
  <r>
    <x v="1"/>
    <x v="0"/>
    <n v="28.215"/>
    <x v="0"/>
    <n v="0"/>
    <x v="1"/>
    <x v="3"/>
    <n v="2200.8308499999998"/>
  </r>
  <r>
    <x v="24"/>
    <x v="0"/>
    <n v="28.31"/>
    <x v="0"/>
    <n v="1"/>
    <x v="1"/>
    <x v="2"/>
    <n v="7153.5538999999999"/>
  </r>
  <r>
    <x v="22"/>
    <x v="0"/>
    <n v="26.125"/>
    <x v="0"/>
    <n v="0"/>
    <x v="1"/>
    <x v="3"/>
    <n v="5227.9887500000004"/>
  </r>
  <r>
    <x v="37"/>
    <x v="1"/>
    <n v="40.369999999999997"/>
    <x v="1"/>
    <n v="0"/>
    <x v="1"/>
    <x v="1"/>
    <n v="10982.5013"/>
  </r>
  <r>
    <x v="38"/>
    <x v="0"/>
    <n v="24.6"/>
    <x v="2"/>
    <n v="2"/>
    <x v="1"/>
    <x v="0"/>
    <n v="4529.4769999999999"/>
  </r>
  <r>
    <x v="4"/>
    <x v="1"/>
    <n v="35.200000000000003"/>
    <x v="1"/>
    <n v="2"/>
    <x v="1"/>
    <x v="0"/>
    <n v="4670.6400000000003"/>
  </r>
  <r>
    <x v="7"/>
    <x v="0"/>
    <n v="34.104999999999997"/>
    <x v="1"/>
    <n v="1"/>
    <x v="1"/>
    <x v="2"/>
    <n v="6112.3529500000004"/>
  </r>
  <r>
    <x v="1"/>
    <x v="1"/>
    <n v="27.36"/>
    <x v="0"/>
    <n v="1"/>
    <x v="0"/>
    <x v="3"/>
    <n v="17178.682400000002"/>
  </r>
  <r>
    <x v="32"/>
    <x v="0"/>
    <n v="26.7"/>
    <x v="0"/>
    <n v="2"/>
    <x v="0"/>
    <x v="0"/>
    <n v="22478.6"/>
  </r>
  <r>
    <x v="12"/>
    <x v="0"/>
    <n v="41.91"/>
    <x v="1"/>
    <n v="0"/>
    <x v="1"/>
    <x v="1"/>
    <n v="11093.6229"/>
  </r>
  <r>
    <x v="25"/>
    <x v="1"/>
    <n v="29.26"/>
    <x v="0"/>
    <n v="2"/>
    <x v="1"/>
    <x v="2"/>
    <n v="6457.8433999999997"/>
  </r>
  <r>
    <x v="38"/>
    <x v="1"/>
    <n v="32.11"/>
    <x v="1"/>
    <n v="2"/>
    <x v="1"/>
    <x v="2"/>
    <n v="4433.9159"/>
  </r>
  <r>
    <x v="20"/>
    <x v="0"/>
    <n v="27.1"/>
    <x v="0"/>
    <n v="0"/>
    <x v="1"/>
    <x v="0"/>
    <n v="2154.3609999999999"/>
  </r>
  <r>
    <x v="14"/>
    <x v="0"/>
    <n v="24.13"/>
    <x v="2"/>
    <n v="1"/>
    <x v="0"/>
    <x v="2"/>
    <n v="23887.662700000001"/>
  </r>
  <r>
    <x v="29"/>
    <x v="0"/>
    <n v="27.4"/>
    <x v="0"/>
    <n v="1"/>
    <x v="1"/>
    <x v="0"/>
    <n v="6496.8860000000004"/>
  </r>
  <r>
    <x v="11"/>
    <x v="0"/>
    <n v="34.865000000000002"/>
    <x v="1"/>
    <n v="0"/>
    <x v="1"/>
    <x v="3"/>
    <n v="2899.4893499999998"/>
  </r>
  <r>
    <x v="5"/>
    <x v="1"/>
    <n v="29.81"/>
    <x v="0"/>
    <n v="0"/>
    <x v="0"/>
    <x v="1"/>
    <n v="19350.368900000001"/>
  </r>
  <r>
    <x v="44"/>
    <x v="0"/>
    <n v="41.325000000000003"/>
    <x v="1"/>
    <n v="1"/>
    <x v="1"/>
    <x v="3"/>
    <n v="7650.7737500000003"/>
  </r>
  <r>
    <x v="23"/>
    <x v="0"/>
    <n v="29.925000000000001"/>
    <x v="0"/>
    <n v="0"/>
    <x v="1"/>
    <x v="2"/>
    <n v="2850.6837500000001"/>
  </r>
  <r>
    <x v="9"/>
    <x v="0"/>
    <n v="30.3"/>
    <x v="1"/>
    <n v="0"/>
    <x v="1"/>
    <x v="0"/>
    <n v="2632.9920000000002"/>
  </r>
  <r>
    <x v="28"/>
    <x v="0"/>
    <n v="27.36"/>
    <x v="0"/>
    <n v="1"/>
    <x v="1"/>
    <x v="3"/>
    <n v="9447.3824000000004"/>
  </r>
  <r>
    <x v="11"/>
    <x v="0"/>
    <n v="28.49"/>
    <x v="0"/>
    <n v="1"/>
    <x v="0"/>
    <x v="1"/>
    <n v="18328.238099999999"/>
  </r>
  <r>
    <x v="39"/>
    <x v="1"/>
    <n v="23.56"/>
    <x v="2"/>
    <n v="2"/>
    <x v="1"/>
    <x v="3"/>
    <n v="8603.8233999999993"/>
  </r>
  <r>
    <x v="34"/>
    <x v="1"/>
    <n v="35.625"/>
    <x v="1"/>
    <n v="3"/>
    <x v="0"/>
    <x v="2"/>
    <n v="37465.34375"/>
  </r>
  <r>
    <x v="10"/>
    <x v="0"/>
    <n v="32.68"/>
    <x v="1"/>
    <n v="0"/>
    <x v="1"/>
    <x v="2"/>
    <n v="13844.797200000001"/>
  </r>
  <r>
    <x v="32"/>
    <x v="0"/>
    <n v="25.27"/>
    <x v="0"/>
    <n v="1"/>
    <x v="0"/>
    <x v="3"/>
    <n v="21771.3423"/>
  </r>
  <r>
    <x v="11"/>
    <x v="0"/>
    <n v="28"/>
    <x v="0"/>
    <n v="0"/>
    <x v="1"/>
    <x v="0"/>
    <n v="13126.677449999999"/>
  </r>
  <r>
    <x v="5"/>
    <x v="0"/>
    <n v="32.774999999999999"/>
    <x v="1"/>
    <n v="2"/>
    <x v="1"/>
    <x v="2"/>
    <n v="5327.4002499999997"/>
  </r>
  <r>
    <x v="24"/>
    <x v="0"/>
    <n v="21.754999999999999"/>
    <x v="2"/>
    <n v="1"/>
    <x v="1"/>
    <x v="3"/>
    <n v="13725.47184"/>
  </r>
  <r>
    <x v="30"/>
    <x v="0"/>
    <n v="32.395000000000003"/>
    <x v="1"/>
    <n v="1"/>
    <x v="1"/>
    <x v="3"/>
    <n v="13019.161050000001"/>
  </r>
  <r>
    <x v="28"/>
    <x v="0"/>
    <n v="36.575000000000003"/>
    <x v="1"/>
    <n v="0"/>
    <x v="1"/>
    <x v="2"/>
    <n v="8671.1912499999999"/>
  </r>
  <r>
    <x v="5"/>
    <x v="0"/>
    <n v="21.754999999999999"/>
    <x v="2"/>
    <n v="0"/>
    <x v="1"/>
    <x v="2"/>
    <n v="4134.0824499999999"/>
  </r>
  <r>
    <x v="0"/>
    <x v="0"/>
    <n v="27.93"/>
    <x v="0"/>
    <n v="3"/>
    <x v="1"/>
    <x v="2"/>
    <n v="18838.703659999999"/>
  </r>
  <r>
    <x v="0"/>
    <x v="0"/>
    <n v="30.02"/>
    <x v="1"/>
    <n v="0"/>
    <x v="0"/>
    <x v="2"/>
    <n v="33307.550799999997"/>
  </r>
  <r>
    <x v="24"/>
    <x v="1"/>
    <n v="33.549999999999997"/>
    <x v="1"/>
    <n v="0"/>
    <x v="1"/>
    <x v="1"/>
    <n v="5699.8374999999996"/>
  </r>
  <r>
    <x v="29"/>
    <x v="1"/>
    <n v="29.355"/>
    <x v="0"/>
    <n v="1"/>
    <x v="1"/>
    <x v="2"/>
    <n v="6393.6034499999996"/>
  </r>
  <r>
    <x v="5"/>
    <x v="0"/>
    <n v="25.8"/>
    <x v="0"/>
    <n v="2"/>
    <x v="1"/>
    <x v="0"/>
    <n v="4934.7049999999999"/>
  </r>
  <r>
    <x v="7"/>
    <x v="1"/>
    <n v="24.32"/>
    <x v="2"/>
    <n v="2"/>
    <x v="1"/>
    <x v="2"/>
    <n v="6198.7518"/>
  </r>
  <r>
    <x v="6"/>
    <x v="1"/>
    <n v="40.375"/>
    <x v="1"/>
    <n v="2"/>
    <x v="1"/>
    <x v="2"/>
    <n v="8733.2292500000003"/>
  </r>
  <r>
    <x v="20"/>
    <x v="1"/>
    <n v="32.11"/>
    <x v="1"/>
    <n v="0"/>
    <x v="1"/>
    <x v="2"/>
    <n v="2055.3249000000001"/>
  </r>
  <r>
    <x v="43"/>
    <x v="1"/>
    <n v="32.299999999999997"/>
    <x v="1"/>
    <n v="1"/>
    <x v="1"/>
    <x v="3"/>
    <n v="9964.06"/>
  </r>
  <r>
    <x v="1"/>
    <x v="0"/>
    <n v="27.28"/>
    <x v="0"/>
    <n v="3"/>
    <x v="0"/>
    <x v="1"/>
    <n v="18223.4512"/>
  </r>
  <r>
    <x v="22"/>
    <x v="1"/>
    <n v="17.86"/>
    <x v="3"/>
    <n v="1"/>
    <x v="1"/>
    <x v="2"/>
    <n v="5116.5003999999999"/>
  </r>
  <r>
    <x v="17"/>
    <x v="0"/>
    <n v="34.799999999999997"/>
    <x v="1"/>
    <n v="2"/>
    <x v="1"/>
    <x v="0"/>
    <n v="36910.608030000003"/>
  </r>
  <r>
    <x v="26"/>
    <x v="1"/>
    <n v="33.4"/>
    <x v="1"/>
    <n v="2"/>
    <x v="0"/>
    <x v="0"/>
    <n v="38415.474000000002"/>
  </r>
  <r>
    <x v="7"/>
    <x v="0"/>
    <n v="25.555"/>
    <x v="0"/>
    <n v="1"/>
    <x v="0"/>
    <x v="3"/>
    <n v="20296.863450000001"/>
  </r>
  <r>
    <x v="17"/>
    <x v="1"/>
    <n v="37.1"/>
    <x v="1"/>
    <n v="1"/>
    <x v="1"/>
    <x v="0"/>
    <n v="12347.172"/>
  </r>
  <r>
    <x v="26"/>
    <x v="1"/>
    <n v="30.875"/>
    <x v="1"/>
    <n v="1"/>
    <x v="1"/>
    <x v="2"/>
    <n v="5373.3642499999996"/>
  </r>
  <r>
    <x v="46"/>
    <x v="1"/>
    <n v="34.1"/>
    <x v="1"/>
    <n v="2"/>
    <x v="1"/>
    <x v="1"/>
    <n v="23563.016179999999"/>
  </r>
  <r>
    <x v="1"/>
    <x v="1"/>
    <n v="21.47"/>
    <x v="2"/>
    <n v="0"/>
    <x v="1"/>
    <x v="3"/>
    <n v="1702.4553000000001"/>
  </r>
  <r>
    <x v="14"/>
    <x v="0"/>
    <n v="33.299999999999997"/>
    <x v="1"/>
    <n v="2"/>
    <x v="1"/>
    <x v="0"/>
    <n v="10806.839"/>
  </r>
  <r>
    <x v="13"/>
    <x v="0"/>
    <n v="31.254999999999999"/>
    <x v="1"/>
    <n v="1"/>
    <x v="1"/>
    <x v="2"/>
    <n v="3956.0714499999999"/>
  </r>
  <r>
    <x v="1"/>
    <x v="1"/>
    <n v="39.14"/>
    <x v="1"/>
    <n v="0"/>
    <x v="1"/>
    <x v="3"/>
    <n v="12890.057650000001"/>
  </r>
  <r>
    <x v="29"/>
    <x v="1"/>
    <n v="25.08"/>
    <x v="0"/>
    <n v="0"/>
    <x v="1"/>
    <x v="1"/>
    <n v="5415.6611999999996"/>
  </r>
  <r>
    <x v="38"/>
    <x v="1"/>
    <n v="37.29"/>
    <x v="1"/>
    <n v="2"/>
    <x v="1"/>
    <x v="1"/>
    <n v="4058.1161000000002"/>
  </r>
  <r>
    <x v="6"/>
    <x v="0"/>
    <n v="34.6"/>
    <x v="1"/>
    <n v="1"/>
    <x v="0"/>
    <x v="0"/>
    <n v="41661.601999999999"/>
  </r>
  <r>
    <x v="25"/>
    <x v="0"/>
    <n v="30.21"/>
    <x v="1"/>
    <n v="3"/>
    <x v="1"/>
    <x v="2"/>
    <n v="7537.1638999999996"/>
  </r>
  <r>
    <x v="15"/>
    <x v="0"/>
    <n v="21.945"/>
    <x v="2"/>
    <n v="1"/>
    <x v="1"/>
    <x v="3"/>
    <n v="4718.2035500000002"/>
  </r>
  <r>
    <x v="29"/>
    <x v="1"/>
    <n v="24.97"/>
    <x v="0"/>
    <n v="2"/>
    <x v="1"/>
    <x v="1"/>
    <n v="6593.5083000000004"/>
  </r>
  <r>
    <x v="45"/>
    <x v="1"/>
    <n v="25.3"/>
    <x v="0"/>
    <n v="0"/>
    <x v="1"/>
    <x v="1"/>
    <n v="8442.6669999999995"/>
  </r>
  <r>
    <x v="34"/>
    <x v="0"/>
    <n v="24.42"/>
    <x v="2"/>
    <n v="0"/>
    <x v="0"/>
    <x v="1"/>
    <n v="26125.674770000001"/>
  </r>
  <r>
    <x v="24"/>
    <x v="1"/>
    <n v="23.94"/>
    <x v="2"/>
    <n v="1"/>
    <x v="1"/>
    <x v="3"/>
    <n v="6858.4795999999997"/>
  </r>
  <r>
    <x v="3"/>
    <x v="0"/>
    <n v="39.82"/>
    <x v="1"/>
    <n v="1"/>
    <x v="1"/>
    <x v="1"/>
    <n v="4795.6567999999997"/>
  </r>
  <r>
    <x v="25"/>
    <x v="1"/>
    <n v="16.815000000000001"/>
    <x v="3"/>
    <n v="2"/>
    <x v="1"/>
    <x v="3"/>
    <n v="6640.5448500000002"/>
  </r>
  <r>
    <x v="44"/>
    <x v="1"/>
    <n v="37.18"/>
    <x v="1"/>
    <n v="2"/>
    <x v="1"/>
    <x v="1"/>
    <n v="7162.0122000000001"/>
  </r>
  <r>
    <x v="12"/>
    <x v="1"/>
    <n v="34.43"/>
    <x v="1"/>
    <n v="0"/>
    <x v="1"/>
    <x v="1"/>
    <n v="10594.225700000001"/>
  </r>
  <r>
    <x v="30"/>
    <x v="1"/>
    <n v="30.305"/>
    <x v="1"/>
    <n v="0"/>
    <x v="1"/>
    <x v="3"/>
    <n v="11938.255950000001"/>
  </r>
  <r>
    <x v="14"/>
    <x v="1"/>
    <n v="34.484999999999999"/>
    <x v="1"/>
    <n v="3"/>
    <x v="0"/>
    <x v="2"/>
    <n v="60021.398970000002"/>
  </r>
  <r>
    <x v="34"/>
    <x v="0"/>
    <n v="21.8"/>
    <x v="2"/>
    <n v="0"/>
    <x v="0"/>
    <x v="0"/>
    <n v="20167.336029999999"/>
  </r>
  <r>
    <x v="40"/>
    <x v="0"/>
    <n v="24.605"/>
    <x v="2"/>
    <n v="3"/>
    <x v="1"/>
    <x v="2"/>
    <n v="12479.70895"/>
  </r>
  <r>
    <x v="30"/>
    <x v="1"/>
    <n v="23.3"/>
    <x v="2"/>
    <n v="0"/>
    <x v="1"/>
    <x v="0"/>
    <n v="11345.519"/>
  </r>
  <r>
    <x v="39"/>
    <x v="0"/>
    <n v="27.83"/>
    <x v="0"/>
    <n v="2"/>
    <x v="1"/>
    <x v="1"/>
    <n v="8515.7587000000003"/>
  </r>
  <r>
    <x v="21"/>
    <x v="1"/>
    <n v="31.065000000000001"/>
    <x v="1"/>
    <n v="0"/>
    <x v="1"/>
    <x v="2"/>
    <n v="2699.56835"/>
  </r>
  <r>
    <x v="18"/>
    <x v="0"/>
    <n v="21.66"/>
    <x v="2"/>
    <n v="0"/>
    <x v="1"/>
    <x v="3"/>
    <n v="14449.8544"/>
  </r>
  <r>
    <x v="30"/>
    <x v="0"/>
    <n v="28.215"/>
    <x v="0"/>
    <n v="0"/>
    <x v="1"/>
    <x v="2"/>
    <n v="12224.350850000001"/>
  </r>
  <r>
    <x v="7"/>
    <x v="1"/>
    <n v="22.704999999999998"/>
    <x v="2"/>
    <n v="3"/>
    <x v="1"/>
    <x v="3"/>
    <n v="6985.50695"/>
  </r>
  <r>
    <x v="9"/>
    <x v="0"/>
    <n v="42.13"/>
    <x v="1"/>
    <n v="1"/>
    <x v="1"/>
    <x v="1"/>
    <n v="3238.4357"/>
  </r>
  <r>
    <x v="14"/>
    <x v="1"/>
    <n v="41.8"/>
    <x v="1"/>
    <n v="2"/>
    <x v="0"/>
    <x v="1"/>
    <n v="47269.853999999999"/>
  </r>
  <r>
    <x v="33"/>
    <x v="1"/>
    <n v="36.96"/>
    <x v="1"/>
    <n v="2"/>
    <x v="0"/>
    <x v="1"/>
    <n v="49577.662400000001"/>
  </r>
  <r>
    <x v="20"/>
    <x v="0"/>
    <n v="21.28"/>
    <x v="2"/>
    <n v="3"/>
    <x v="1"/>
    <x v="2"/>
    <n v="4296.2712000000001"/>
  </r>
  <r>
    <x v="2"/>
    <x v="0"/>
    <n v="33.11"/>
    <x v="1"/>
    <n v="0"/>
    <x v="1"/>
    <x v="1"/>
    <n v="3171.6149"/>
  </r>
  <r>
    <x v="1"/>
    <x v="1"/>
    <n v="33.33"/>
    <x v="1"/>
    <n v="0"/>
    <x v="1"/>
    <x v="1"/>
    <n v="1135.9407000000001"/>
  </r>
  <r>
    <x v="2"/>
    <x v="1"/>
    <n v="24.3"/>
    <x v="2"/>
    <n v="5"/>
    <x v="1"/>
    <x v="0"/>
    <n v="5615.3689999999997"/>
  </r>
  <r>
    <x v="39"/>
    <x v="0"/>
    <n v="25.7"/>
    <x v="0"/>
    <n v="3"/>
    <x v="1"/>
    <x v="0"/>
    <n v="9101.7980000000007"/>
  </r>
  <r>
    <x v="3"/>
    <x v="1"/>
    <n v="29.4"/>
    <x v="0"/>
    <n v="4"/>
    <x v="1"/>
    <x v="0"/>
    <n v="6059.1729999999998"/>
  </r>
  <r>
    <x v="1"/>
    <x v="0"/>
    <n v="39.82"/>
    <x v="1"/>
    <n v="0"/>
    <x v="1"/>
    <x v="1"/>
    <n v="1633.9618"/>
  </r>
  <r>
    <x v="4"/>
    <x v="1"/>
    <n v="33.630000000000003"/>
    <x v="1"/>
    <n v="1"/>
    <x v="0"/>
    <x v="3"/>
    <n v="37607.527699999999"/>
  </r>
  <r>
    <x v="23"/>
    <x v="1"/>
    <n v="29.83"/>
    <x v="0"/>
    <n v="0"/>
    <x v="0"/>
    <x v="3"/>
    <n v="18648.421699999999"/>
  </r>
  <r>
    <x v="0"/>
    <x v="1"/>
    <n v="19.8"/>
    <x v="2"/>
    <n v="0"/>
    <x v="1"/>
    <x v="0"/>
    <n v="1241.5650000000001"/>
  </r>
  <r>
    <x v="34"/>
    <x v="1"/>
    <n v="27.3"/>
    <x v="0"/>
    <n v="0"/>
    <x v="0"/>
    <x v="0"/>
    <n v="16232.847"/>
  </r>
  <r>
    <x v="29"/>
    <x v="0"/>
    <n v="29.3"/>
    <x v="0"/>
    <n v="4"/>
    <x v="1"/>
    <x v="0"/>
    <n v="15828.82173"/>
  </r>
  <r>
    <x v="16"/>
    <x v="0"/>
    <n v="27.72"/>
    <x v="0"/>
    <n v="0"/>
    <x v="1"/>
    <x v="1"/>
    <n v="4415.1588000000002"/>
  </r>
  <r>
    <x v="44"/>
    <x v="0"/>
    <n v="37.9"/>
    <x v="1"/>
    <n v="0"/>
    <x v="1"/>
    <x v="0"/>
    <n v="6474.0129999999999"/>
  </r>
  <r>
    <x v="43"/>
    <x v="0"/>
    <n v="36.384999999999998"/>
    <x v="1"/>
    <n v="3"/>
    <x v="1"/>
    <x v="2"/>
    <n v="11436.738149999999"/>
  </r>
  <r>
    <x v="40"/>
    <x v="0"/>
    <n v="27.645"/>
    <x v="0"/>
    <n v="1"/>
    <x v="1"/>
    <x v="2"/>
    <n v="11305.93455"/>
  </r>
  <r>
    <x v="19"/>
    <x v="1"/>
    <n v="37.715000000000003"/>
    <x v="1"/>
    <n v="3"/>
    <x v="1"/>
    <x v="2"/>
    <n v="30063.580549999999"/>
  </r>
  <r>
    <x v="14"/>
    <x v="0"/>
    <n v="23.18"/>
    <x v="2"/>
    <n v="0"/>
    <x v="1"/>
    <x v="3"/>
    <n v="10197.772199999999"/>
  </r>
  <r>
    <x v="4"/>
    <x v="0"/>
    <n v="20.52"/>
    <x v="2"/>
    <n v="0"/>
    <x v="1"/>
    <x v="3"/>
    <n v="4544.2348000000002"/>
  </r>
  <r>
    <x v="2"/>
    <x v="1"/>
    <n v="37.1"/>
    <x v="1"/>
    <n v="1"/>
    <x v="1"/>
    <x v="0"/>
    <n v="3277.1610000000001"/>
  </r>
  <r>
    <x v="24"/>
    <x v="0"/>
    <n v="28.05"/>
    <x v="0"/>
    <n v="1"/>
    <x v="1"/>
    <x v="1"/>
    <n v="6770.1925000000001"/>
  </r>
  <r>
    <x v="32"/>
    <x v="0"/>
    <n v="29.9"/>
    <x v="0"/>
    <n v="1"/>
    <x v="1"/>
    <x v="0"/>
    <n v="7337.7479999999996"/>
  </r>
  <r>
    <x v="41"/>
    <x v="0"/>
    <n v="33.344999999999999"/>
    <x v="1"/>
    <n v="2"/>
    <x v="1"/>
    <x v="3"/>
    <n v="10370.912549999999"/>
  </r>
  <r>
    <x v="33"/>
    <x v="1"/>
    <n v="23.76"/>
    <x v="2"/>
    <n v="0"/>
    <x v="0"/>
    <x v="1"/>
    <n v="26926.5144"/>
  </r>
  <r>
    <x v="19"/>
    <x v="0"/>
    <n v="30.5"/>
    <x v="1"/>
    <n v="0"/>
    <x v="1"/>
    <x v="0"/>
    <n v="10704.47"/>
  </r>
  <r>
    <x v="23"/>
    <x v="1"/>
    <n v="31.065000000000001"/>
    <x v="1"/>
    <n v="0"/>
    <x v="0"/>
    <x v="3"/>
    <n v="34254.053350000002"/>
  </r>
  <r>
    <x v="34"/>
    <x v="0"/>
    <n v="33.299999999999997"/>
    <x v="1"/>
    <n v="0"/>
    <x v="1"/>
    <x v="0"/>
    <n v="1880.4870000000001"/>
  </r>
  <r>
    <x v="39"/>
    <x v="1"/>
    <n v="27.5"/>
    <x v="0"/>
    <n v="3"/>
    <x v="1"/>
    <x v="0"/>
    <n v="8615.2999999999993"/>
  </r>
  <r>
    <x v="21"/>
    <x v="1"/>
    <n v="33.914999999999999"/>
    <x v="1"/>
    <n v="1"/>
    <x v="1"/>
    <x v="2"/>
    <n v="3292.5298499999999"/>
  </r>
  <r>
    <x v="9"/>
    <x v="0"/>
    <n v="34.484999999999999"/>
    <x v="1"/>
    <n v="0"/>
    <x v="1"/>
    <x v="2"/>
    <n v="3021.80915"/>
  </r>
  <r>
    <x v="32"/>
    <x v="1"/>
    <n v="25.52"/>
    <x v="0"/>
    <n v="5"/>
    <x v="1"/>
    <x v="1"/>
    <n v="14478.33015"/>
  </r>
  <r>
    <x v="22"/>
    <x v="1"/>
    <n v="27.61"/>
    <x v="0"/>
    <n v="1"/>
    <x v="1"/>
    <x v="1"/>
    <n v="4747.0528999999997"/>
  </r>
  <r>
    <x v="21"/>
    <x v="1"/>
    <n v="27.06"/>
    <x v="0"/>
    <n v="0"/>
    <x v="0"/>
    <x v="1"/>
    <n v="17043.341400000001"/>
  </r>
  <r>
    <x v="37"/>
    <x v="1"/>
    <n v="23.7"/>
    <x v="2"/>
    <n v="0"/>
    <x v="1"/>
    <x v="0"/>
    <n v="10959.33"/>
  </r>
  <r>
    <x v="20"/>
    <x v="0"/>
    <n v="30.4"/>
    <x v="1"/>
    <n v="0"/>
    <x v="1"/>
    <x v="3"/>
    <n v="2741.9479999999999"/>
  </r>
  <r>
    <x v="4"/>
    <x v="0"/>
    <n v="29.734999999999999"/>
    <x v="0"/>
    <n v="0"/>
    <x v="1"/>
    <x v="2"/>
    <n v="4357.0436499999996"/>
  </r>
  <r>
    <x v="46"/>
    <x v="1"/>
    <n v="29.925000000000001"/>
    <x v="0"/>
    <n v="1"/>
    <x v="0"/>
    <x v="3"/>
    <n v="22462.043750000001"/>
  </r>
  <r>
    <x v="9"/>
    <x v="0"/>
    <n v="26.79"/>
    <x v="0"/>
    <n v="2"/>
    <x v="1"/>
    <x v="2"/>
    <n v="4189.1130999999996"/>
  </r>
  <r>
    <x v="28"/>
    <x v="0"/>
    <n v="33.33"/>
    <x v="1"/>
    <n v="0"/>
    <x v="1"/>
    <x v="1"/>
    <n v="8283.6807000000008"/>
  </r>
  <r>
    <x v="42"/>
    <x v="0"/>
    <n v="27.645"/>
    <x v="0"/>
    <n v="2"/>
    <x v="0"/>
    <x v="2"/>
    <n v="24535.698550000001"/>
  </r>
  <r>
    <x v="1"/>
    <x v="0"/>
    <n v="21.66"/>
    <x v="2"/>
    <n v="0"/>
    <x v="0"/>
    <x v="3"/>
    <n v="14283.4594"/>
  </r>
  <r>
    <x v="1"/>
    <x v="1"/>
    <n v="30.03"/>
    <x v="1"/>
    <n v="1"/>
    <x v="1"/>
    <x v="1"/>
    <n v="1720.3536999999999"/>
  </r>
  <r>
    <x v="35"/>
    <x v="1"/>
    <n v="36.299999999999997"/>
    <x v="1"/>
    <n v="1"/>
    <x v="0"/>
    <x v="0"/>
    <n v="47403.88"/>
  </r>
  <r>
    <x v="42"/>
    <x v="0"/>
    <n v="24.32"/>
    <x v="2"/>
    <n v="0"/>
    <x v="1"/>
    <x v="3"/>
    <n v="8534.6718000000001"/>
  </r>
  <r>
    <x v="2"/>
    <x v="0"/>
    <n v="17.29"/>
    <x v="3"/>
    <n v="0"/>
    <x v="1"/>
    <x v="3"/>
    <n v="3732.6251000000002"/>
  </r>
  <r>
    <x v="26"/>
    <x v="0"/>
    <n v="25.9"/>
    <x v="0"/>
    <n v="1"/>
    <x v="1"/>
    <x v="0"/>
    <n v="5472.4489999999996"/>
  </r>
  <r>
    <x v="34"/>
    <x v="1"/>
    <n v="39.4"/>
    <x v="1"/>
    <n v="2"/>
    <x v="0"/>
    <x v="0"/>
    <n v="38344.565999999999"/>
  </r>
  <r>
    <x v="36"/>
    <x v="1"/>
    <n v="34.32"/>
    <x v="1"/>
    <n v="1"/>
    <x v="1"/>
    <x v="1"/>
    <n v="7147.4727999999996"/>
  </r>
  <r>
    <x v="25"/>
    <x v="0"/>
    <n v="19.95"/>
    <x v="2"/>
    <n v="2"/>
    <x v="1"/>
    <x v="3"/>
    <n v="7133.9025000000001"/>
  </r>
  <r>
    <x v="0"/>
    <x v="1"/>
    <n v="34.9"/>
    <x v="1"/>
    <n v="0"/>
    <x v="0"/>
    <x v="0"/>
    <n v="34828.654000000002"/>
  </r>
  <r>
    <x v="27"/>
    <x v="1"/>
    <n v="23.21"/>
    <x v="2"/>
    <n v="0"/>
    <x v="1"/>
    <x v="1"/>
    <n v="1515.3449000000001"/>
  </r>
  <r>
    <x v="6"/>
    <x v="1"/>
    <n v="25.745000000000001"/>
    <x v="0"/>
    <n v="3"/>
    <x v="1"/>
    <x v="2"/>
    <n v="9301.8935500000007"/>
  </r>
  <r>
    <x v="30"/>
    <x v="1"/>
    <n v="25.175000000000001"/>
    <x v="0"/>
    <n v="0"/>
    <x v="1"/>
    <x v="3"/>
    <n v="11931.125249999999"/>
  </r>
  <r>
    <x v="34"/>
    <x v="1"/>
    <n v="22"/>
    <x v="2"/>
    <n v="1"/>
    <x v="1"/>
    <x v="0"/>
    <n v="1964.78"/>
  </r>
  <r>
    <x v="1"/>
    <x v="1"/>
    <n v="26.125"/>
    <x v="0"/>
    <n v="0"/>
    <x v="1"/>
    <x v="3"/>
    <n v="1708.9257500000001"/>
  </r>
  <r>
    <x v="2"/>
    <x v="0"/>
    <n v="26.51"/>
    <x v="0"/>
    <n v="2"/>
    <x v="1"/>
    <x v="1"/>
    <n v="4340.4408999999996"/>
  </r>
  <r>
    <x v="3"/>
    <x v="1"/>
    <n v="27.454999999999998"/>
    <x v="0"/>
    <n v="2"/>
    <x v="1"/>
    <x v="2"/>
    <n v="5261.4694499999996"/>
  </r>
  <r>
    <x v="0"/>
    <x v="0"/>
    <n v="25.745000000000001"/>
    <x v="0"/>
    <n v="1"/>
    <x v="1"/>
    <x v="2"/>
    <n v="2710.8285500000002"/>
  </r>
  <r>
    <x v="39"/>
    <x v="1"/>
    <n v="30.36"/>
    <x v="1"/>
    <n v="0"/>
    <x v="0"/>
    <x v="1"/>
    <n v="62592.873090000001"/>
  </r>
  <r>
    <x v="10"/>
    <x v="1"/>
    <n v="30.875"/>
    <x v="1"/>
    <n v="3"/>
    <x v="0"/>
    <x v="2"/>
    <n v="46718.163249999998"/>
  </r>
  <r>
    <x v="9"/>
    <x v="0"/>
    <n v="20.8"/>
    <x v="2"/>
    <n v="1"/>
    <x v="1"/>
    <x v="0"/>
    <n v="3208.7869999999998"/>
  </r>
  <r>
    <x v="32"/>
    <x v="1"/>
    <n v="27.8"/>
    <x v="0"/>
    <n v="0"/>
    <x v="0"/>
    <x v="0"/>
    <n v="37829.724199999997"/>
  </r>
  <r>
    <x v="44"/>
    <x v="1"/>
    <n v="24.605"/>
    <x v="2"/>
    <n v="2"/>
    <x v="0"/>
    <x v="3"/>
    <n v="21259.377949999998"/>
  </r>
  <r>
    <x v="23"/>
    <x v="0"/>
    <n v="27.72"/>
    <x v="0"/>
    <n v="0"/>
    <x v="1"/>
    <x v="1"/>
    <n v="2464.6188000000002"/>
  </r>
  <r>
    <x v="38"/>
    <x v="0"/>
    <n v="21.85"/>
    <x v="2"/>
    <n v="0"/>
    <x v="0"/>
    <x v="3"/>
    <n v="16115.3045"/>
  </r>
  <r>
    <x v="4"/>
    <x v="1"/>
    <n v="28.12"/>
    <x v="0"/>
    <n v="4"/>
    <x v="0"/>
    <x v="2"/>
    <n v="21472.478800000001"/>
  </r>
  <r>
    <x v="9"/>
    <x v="0"/>
    <n v="30.2"/>
    <x v="1"/>
    <n v="0"/>
    <x v="0"/>
    <x v="0"/>
    <n v="33900.652999999998"/>
  </r>
  <r>
    <x v="24"/>
    <x v="1"/>
    <n v="32.200000000000003"/>
    <x v="1"/>
    <n v="2"/>
    <x v="1"/>
    <x v="0"/>
    <n v="6875.9610000000002"/>
  </r>
  <r>
    <x v="44"/>
    <x v="1"/>
    <n v="26.315000000000001"/>
    <x v="0"/>
    <n v="1"/>
    <x v="1"/>
    <x v="2"/>
    <n v="6940.90985"/>
  </r>
  <r>
    <x v="3"/>
    <x v="0"/>
    <n v="26.695"/>
    <x v="0"/>
    <n v="0"/>
    <x v="1"/>
    <x v="2"/>
    <n v="4571.4130500000001"/>
  </r>
  <r>
    <x v="16"/>
    <x v="1"/>
    <n v="42.9"/>
    <x v="1"/>
    <n v="1"/>
    <x v="1"/>
    <x v="0"/>
    <n v="4536.259"/>
  </r>
  <r>
    <x v="0"/>
    <x v="0"/>
    <n v="34.700000000000003"/>
    <x v="1"/>
    <n v="2"/>
    <x v="0"/>
    <x v="0"/>
    <n v="36397.576000000001"/>
  </r>
  <r>
    <x v="15"/>
    <x v="0"/>
    <n v="23.655000000000001"/>
    <x v="2"/>
    <n v="3"/>
    <x v="0"/>
    <x v="2"/>
    <n v="18765.87545"/>
  </r>
  <r>
    <x v="1"/>
    <x v="1"/>
    <n v="28.31"/>
    <x v="0"/>
    <n v="1"/>
    <x v="1"/>
    <x v="3"/>
    <n v="11272.331389999999"/>
  </r>
  <r>
    <x v="0"/>
    <x v="0"/>
    <n v="20.6"/>
    <x v="2"/>
    <n v="0"/>
    <x v="1"/>
    <x v="0"/>
    <n v="1731.6769999999999"/>
  </r>
  <r>
    <x v="1"/>
    <x v="1"/>
    <n v="53.13"/>
    <x v="1"/>
    <n v="0"/>
    <x v="1"/>
    <x v="1"/>
    <n v="1163.4627"/>
  </r>
  <r>
    <x v="22"/>
    <x v="1"/>
    <n v="39.71"/>
    <x v="1"/>
    <n v="4"/>
    <x v="1"/>
    <x v="3"/>
    <n v="19496.71917"/>
  </r>
  <r>
    <x v="46"/>
    <x v="0"/>
    <n v="26.315000000000001"/>
    <x v="0"/>
    <n v="2"/>
    <x v="1"/>
    <x v="2"/>
    <n v="7201.7008500000002"/>
  </r>
  <r>
    <x v="5"/>
    <x v="1"/>
    <n v="31.065000000000001"/>
    <x v="1"/>
    <n v="3"/>
    <x v="1"/>
    <x v="2"/>
    <n v="5425.0233500000004"/>
  </r>
  <r>
    <x v="10"/>
    <x v="1"/>
    <n v="26.695"/>
    <x v="0"/>
    <n v="0"/>
    <x v="0"/>
    <x v="3"/>
    <n v="28101.333050000001"/>
  </r>
  <r>
    <x v="10"/>
    <x v="1"/>
    <n v="38.83"/>
    <x v="1"/>
    <n v="0"/>
    <x v="1"/>
    <x v="1"/>
    <n v="12981.3457"/>
  </r>
  <r>
    <x v="44"/>
    <x v="0"/>
    <n v="40.369999999999997"/>
    <x v="1"/>
    <n v="2"/>
    <x v="0"/>
    <x v="1"/>
    <n v="43896.376300000004"/>
  </r>
  <r>
    <x v="5"/>
    <x v="1"/>
    <n v="25.934999999999999"/>
    <x v="0"/>
    <n v="1"/>
    <x v="1"/>
    <x v="2"/>
    <n v="4239.8926499999998"/>
  </r>
  <r>
    <x v="35"/>
    <x v="1"/>
    <n v="33.534999999999997"/>
    <x v="1"/>
    <n v="0"/>
    <x v="1"/>
    <x v="3"/>
    <n v="13143.336649999999"/>
  </r>
  <r>
    <x v="44"/>
    <x v="0"/>
    <n v="32.869999999999997"/>
    <x v="1"/>
    <n v="0"/>
    <x v="1"/>
    <x v="3"/>
    <n v="7050.0213000000003"/>
  </r>
  <r>
    <x v="43"/>
    <x v="1"/>
    <n v="30.03"/>
    <x v="1"/>
    <n v="1"/>
    <x v="1"/>
    <x v="1"/>
    <n v="9377.9046999999991"/>
  </r>
  <r>
    <x v="11"/>
    <x v="0"/>
    <n v="24.225000000000001"/>
    <x v="2"/>
    <n v="2"/>
    <x v="1"/>
    <x v="3"/>
    <n v="22395.74424"/>
  </r>
  <r>
    <x v="14"/>
    <x v="1"/>
    <n v="38.6"/>
    <x v="1"/>
    <n v="2"/>
    <x v="1"/>
    <x v="0"/>
    <n v="10325.206"/>
  </r>
  <r>
    <x v="37"/>
    <x v="0"/>
    <n v="25.74"/>
    <x v="0"/>
    <n v="2"/>
    <x v="1"/>
    <x v="1"/>
    <n v="12629.1656"/>
  </r>
  <r>
    <x v="11"/>
    <x v="0"/>
    <n v="33.4"/>
    <x v="1"/>
    <n v="0"/>
    <x v="1"/>
    <x v="0"/>
    <n v="10795.937330000001"/>
  </r>
  <r>
    <x v="14"/>
    <x v="0"/>
    <n v="44.7"/>
    <x v="1"/>
    <n v="3"/>
    <x v="1"/>
    <x v="0"/>
    <n v="11411.684999999999"/>
  </r>
  <r>
    <x v="45"/>
    <x v="1"/>
    <n v="30.97"/>
    <x v="1"/>
    <n v="3"/>
    <x v="1"/>
    <x v="2"/>
    <n v="10600.5483"/>
  </r>
  <r>
    <x v="1"/>
    <x v="0"/>
    <n v="31.92"/>
    <x v="1"/>
    <n v="0"/>
    <x v="1"/>
    <x v="3"/>
    <n v="2205.9807999999998"/>
  </r>
  <r>
    <x v="1"/>
    <x v="0"/>
    <n v="36.85"/>
    <x v="1"/>
    <n v="0"/>
    <x v="1"/>
    <x v="1"/>
    <n v="1629.8335"/>
  </r>
  <r>
    <x v="27"/>
    <x v="0"/>
    <n v="25.8"/>
    <x v="0"/>
    <n v="0"/>
    <x v="1"/>
    <x v="0"/>
    <n v="2007.9449999999999"/>
  </r>
  <r>
    <x v="35"/>
    <x v="0"/>
    <n v="29.07"/>
    <x v="0"/>
    <n v="0"/>
    <x v="0"/>
    <x v="2"/>
    <n v="29141.36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6404D0-8A9B-4825-9644-B7770256B411}" name="PivotTable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7:C40" firstHeaderRow="0" firstDataRow="1" firstDataCol="1"/>
  <pivotFields count="8">
    <pivotField showAll="0"/>
    <pivotField axis="axisRow" showAll="0">
      <items count="3">
        <item x="0"/>
        <item x="1"/>
        <item t="default"/>
      </items>
    </pivotField>
    <pivotField showAll="0"/>
    <pivotField showAll="0">
      <items count="5">
        <item h="1" x="2"/>
        <item x="1"/>
        <item h="1" x="0"/>
        <item h="1" x="3"/>
        <item t="default"/>
      </items>
    </pivotField>
    <pivotField dataField="1" showAll="0"/>
    <pivotField showAll="0">
      <items count="3">
        <item x="1"/>
        <item x="0"/>
        <item t="default"/>
      </items>
    </pivotField>
    <pivotField showAll="0">
      <items count="5">
        <item x="3"/>
        <item x="2"/>
        <item x="1"/>
        <item x="0"/>
        <item t="default"/>
      </items>
    </pivotField>
    <pivotField dataField="1" showAll="0"/>
  </pivotFields>
  <rowFields count="1">
    <field x="1"/>
  </rowFields>
  <rowItems count="3">
    <i>
      <x/>
    </i>
    <i>
      <x v="1"/>
    </i>
    <i t="grand">
      <x/>
    </i>
  </rowItems>
  <colFields count="1">
    <field x="-2"/>
  </colFields>
  <colItems count="2">
    <i>
      <x/>
    </i>
    <i i="1">
      <x v="1"/>
    </i>
  </colItems>
  <dataFields count="2">
    <dataField name="Sum of charges" fld="7" baseField="0" baseItem="0" numFmtId="164"/>
    <dataField name="Sum of children" fld="4" baseField="0" baseItem="0"/>
  </dataFields>
  <formats count="2">
    <format dxfId="37">
      <pivotArea outline="0" collapsedLevelsAreSubtotals="1" fieldPosition="0"/>
    </format>
    <format dxfId="36">
      <pivotArea outline="0" collapsedLevelsAreSubtotals="1" fieldPosition="0">
        <references count="1">
          <reference field="4294967294" count="1" selected="0">
            <x v="1"/>
          </reference>
        </references>
      </pivotArea>
    </format>
  </format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 chart="20" format="2"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1"/>
          </reference>
        </references>
      </pivotArea>
    </chartFormat>
    <chartFormat chart="23" format="4"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5A8791A-12A2-4C04-95A2-3282B122429F}"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1:B24" firstHeaderRow="1" firstDataRow="1" firstDataCol="1"/>
  <pivotFields count="8">
    <pivotField showAll="0"/>
    <pivotField showAll="0">
      <items count="3">
        <item x="0"/>
        <item x="1"/>
        <item t="default"/>
      </items>
    </pivotField>
    <pivotField showAll="0"/>
    <pivotField showAll="0">
      <items count="5">
        <item h="1" x="2"/>
        <item x="1"/>
        <item h="1" x="0"/>
        <item h="1" x="3"/>
        <item t="default"/>
      </items>
    </pivotField>
    <pivotField showAll="0"/>
    <pivotField axis="axisRow" showAll="0">
      <items count="3">
        <item x="1"/>
        <item x="0"/>
        <item t="default"/>
      </items>
    </pivotField>
    <pivotField showAll="0">
      <items count="5">
        <item x="3"/>
        <item x="2"/>
        <item x="1"/>
        <item x="0"/>
        <item t="default"/>
      </items>
    </pivotField>
    <pivotField dataField="1" showAll="0"/>
  </pivotFields>
  <rowFields count="1">
    <field x="5"/>
  </rowFields>
  <rowItems count="3">
    <i>
      <x/>
    </i>
    <i>
      <x v="1"/>
    </i>
    <i t="grand">
      <x/>
    </i>
  </rowItems>
  <colItems count="1">
    <i/>
  </colItems>
  <dataFields count="1">
    <dataField name="Average of charges" fld="7" subtotal="average" baseField="1" baseItem="0" numFmtId="164"/>
  </dataFields>
  <formats count="1">
    <format dxfId="38">
      <pivotArea outline="0" collapsedLevelsAreSubtotals="1" fieldPosition="0"/>
    </format>
  </format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5" count="1" selected="0">
            <x v="0"/>
          </reference>
        </references>
      </pivotArea>
    </chartFormat>
    <chartFormat chart="4" format="2">
      <pivotArea type="data" outline="0" fieldPosition="0">
        <references count="2">
          <reference field="4294967294" count="1" selected="0">
            <x v="0"/>
          </reference>
          <reference field="5" count="1" selected="0">
            <x v="1"/>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5" count="1" selected="0">
            <x v="0"/>
          </reference>
        </references>
      </pivotArea>
    </chartFormat>
    <chartFormat chart="14" format="8">
      <pivotArea type="data" outline="0" fieldPosition="0">
        <references count="2">
          <reference field="4294967294" count="1" selected="0">
            <x v="0"/>
          </reference>
          <reference field="5" count="1" selected="0">
            <x v="1"/>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846790-765C-40E7-BE6B-7AF2B4729C9A}"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6:C9" firstHeaderRow="0" firstDataRow="1" firstDataCol="1"/>
  <pivotFields count="8">
    <pivotField showAll="0"/>
    <pivotField axis="axisRow" showAll="0">
      <items count="3">
        <item x="0"/>
        <item x="1"/>
        <item t="default"/>
      </items>
    </pivotField>
    <pivotField dataField="1" showAll="0"/>
    <pivotField showAll="0">
      <items count="5">
        <item h="1" x="2"/>
        <item x="1"/>
        <item h="1" x="0"/>
        <item h="1" x="3"/>
        <item t="default"/>
      </items>
    </pivotField>
    <pivotField showAll="0"/>
    <pivotField showAll="0">
      <items count="3">
        <item x="1"/>
        <item x="0"/>
        <item t="default"/>
      </items>
    </pivotField>
    <pivotField showAll="0">
      <items count="5">
        <item x="3"/>
        <item x="2"/>
        <item x="1"/>
        <item x="0"/>
        <item t="default"/>
      </items>
    </pivotField>
    <pivotField dataField="1" showAll="0"/>
  </pivotFields>
  <rowFields count="1">
    <field x="1"/>
  </rowFields>
  <rowItems count="3">
    <i>
      <x/>
    </i>
    <i>
      <x v="1"/>
    </i>
    <i t="grand">
      <x/>
    </i>
  </rowItems>
  <colFields count="1">
    <field x="-2"/>
  </colFields>
  <colItems count="2">
    <i>
      <x/>
    </i>
    <i i="1">
      <x v="1"/>
    </i>
  </colItems>
  <dataFields count="2">
    <dataField name="Average of charges" fld="7" subtotal="average" baseField="1" baseItem="0" numFmtId="164"/>
    <dataField name="Average of bmi" fld="2" subtotal="average" baseField="1" baseItem="0"/>
  </dataFields>
  <formats count="2">
    <format dxfId="40">
      <pivotArea outline="0" collapsedLevelsAreSubtotals="1" fieldPosition="0"/>
    </format>
    <format dxfId="3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00DE4B-E4DD-46BA-8CD9-5E29AC3A37C6}" name="PivotTable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110:B112" firstHeaderRow="1" firstDataRow="1" firstDataCol="1"/>
  <pivotFields count="8">
    <pivotField showAll="0"/>
    <pivotField showAll="0">
      <items count="3">
        <item x="0"/>
        <item x="1"/>
        <item t="default"/>
      </items>
    </pivotField>
    <pivotField dataField="1" showAll="0"/>
    <pivotField axis="axisRow" showAll="0">
      <items count="5">
        <item h="1" x="2"/>
        <item x="1"/>
        <item h="1" x="0"/>
        <item h="1" x="3"/>
        <item t="default"/>
      </items>
    </pivotField>
    <pivotField showAll="0"/>
    <pivotField showAll="0">
      <items count="3">
        <item x="1"/>
        <item x="0"/>
        <item t="default"/>
      </items>
    </pivotField>
    <pivotField showAll="0">
      <items count="5">
        <item x="3"/>
        <item x="2"/>
        <item x="1"/>
        <item x="0"/>
        <item t="default"/>
      </items>
    </pivotField>
    <pivotField showAll="0"/>
  </pivotFields>
  <rowFields count="1">
    <field x="3"/>
  </rowFields>
  <rowItems count="2">
    <i>
      <x v="1"/>
    </i>
    <i t="grand">
      <x/>
    </i>
  </rowItems>
  <colItems count="1">
    <i/>
  </colItems>
  <dataFields count="1">
    <dataField name="Count of bmi" fld="2" subtotal="count" baseField="3" baseItem="0"/>
  </dataFields>
  <formats count="2">
    <format dxfId="42">
      <pivotArea dataOnly="0" labelOnly="1" outline="0" axis="axisValues" fieldPosition="0"/>
    </format>
    <format dxfId="41">
      <pivotArea outline="0" collapsedLevelsAreSubtotals="1" fieldPosition="0"/>
    </format>
  </formats>
  <chartFormats count="2">
    <chartFormat chart="43" format="0" series="1">
      <pivotArea type="data" outline="0" fieldPosition="0">
        <references count="1">
          <reference field="4294967294" count="1" selected="0">
            <x v="0"/>
          </reference>
        </references>
      </pivotArea>
    </chartFormat>
    <chartFormat chart="5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45013D2-CAEC-4014-BBFC-E3A8EAE2C05C}" name="PivotTable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77:C82" firstHeaderRow="0" firstDataRow="1" firstDataCol="1"/>
  <pivotFields count="8">
    <pivotField showAll="0"/>
    <pivotField showAll="0">
      <items count="3">
        <item x="0"/>
        <item x="1"/>
        <item t="default"/>
      </items>
    </pivotField>
    <pivotField showAll="0"/>
    <pivotField showAll="0">
      <items count="5">
        <item h="1" x="2"/>
        <item x="1"/>
        <item h="1" x="0"/>
        <item h="1" x="3"/>
        <item t="default"/>
      </items>
    </pivotField>
    <pivotField showAll="0"/>
    <pivotField dataField="1" showAll="0">
      <items count="3">
        <item x="1"/>
        <item x="0"/>
        <item t="default"/>
      </items>
    </pivotField>
    <pivotField axis="axisRow" showAll="0">
      <items count="5">
        <item x="3"/>
        <item x="2"/>
        <item x="1"/>
        <item x="0"/>
        <item t="default"/>
      </items>
    </pivotField>
    <pivotField dataField="1" showAll="0"/>
  </pivotFields>
  <rowFields count="1">
    <field x="6"/>
  </rowFields>
  <rowItems count="5">
    <i>
      <x/>
    </i>
    <i>
      <x v="1"/>
    </i>
    <i>
      <x v="2"/>
    </i>
    <i>
      <x v="3"/>
    </i>
    <i t="grand">
      <x/>
    </i>
  </rowItems>
  <colFields count="1">
    <field x="-2"/>
  </colFields>
  <colItems count="2">
    <i>
      <x/>
    </i>
    <i i="1">
      <x v="1"/>
    </i>
  </colItems>
  <dataFields count="2">
    <dataField name="Count of smoker" fld="5" subtotal="count" baseField="0" baseItem="0" numFmtId="1"/>
    <dataField name="Sum of charges" fld="7" baseField="6" baseItem="0"/>
  </dataFields>
  <formats count="2">
    <format dxfId="44">
      <pivotArea outline="0" collapsedLevelsAreSubtotals="1" fieldPosition="0"/>
    </format>
    <format dxfId="43">
      <pivotArea outline="0" collapsedLevelsAreSubtotals="1" fieldPosition="0">
        <references count="1">
          <reference field="4294967294" count="1" selected="0">
            <x v="0"/>
          </reference>
        </references>
      </pivotArea>
    </format>
  </formats>
  <chartFormats count="10">
    <chartFormat chart="20" format="1" series="1">
      <pivotArea type="data" outline="0" fieldPosition="0">
        <references count="1">
          <reference field="4294967294" count="1" selected="0">
            <x v="1"/>
          </reference>
        </references>
      </pivotArea>
    </chartFormat>
    <chartFormat chart="24" format="1" series="1">
      <pivotArea type="data" outline="0" fieldPosition="0">
        <references count="1">
          <reference field="4294967294" count="1" selected="0">
            <x v="1"/>
          </reference>
        </references>
      </pivotArea>
    </chartFormat>
    <chartFormat chart="24" format="2">
      <pivotArea type="data" outline="0" fieldPosition="0">
        <references count="2">
          <reference field="4294967294" count="1" selected="0">
            <x v="1"/>
          </reference>
          <reference field="6" count="1" selected="0">
            <x v="1"/>
          </reference>
        </references>
      </pivotArea>
    </chartFormat>
    <chartFormat chart="24" format="3">
      <pivotArea type="data" outline="0" fieldPosition="0">
        <references count="2">
          <reference field="4294967294" count="1" selected="0">
            <x v="1"/>
          </reference>
          <reference field="6" count="1" selected="0">
            <x v="3"/>
          </reference>
        </references>
      </pivotArea>
    </chartFormat>
    <chartFormat chart="24" format="4">
      <pivotArea type="data" outline="0" fieldPosition="0">
        <references count="2">
          <reference field="4294967294" count="1" selected="0">
            <x v="1"/>
          </reference>
          <reference field="6" count="1" selected="0">
            <x v="2"/>
          </reference>
        </references>
      </pivotArea>
    </chartFormat>
    <chartFormat chart="24" format="5">
      <pivotArea type="data" outline="0" fieldPosition="0">
        <references count="2">
          <reference field="4294967294" count="1" selected="0">
            <x v="1"/>
          </reference>
          <reference field="6" count="1" selected="0">
            <x v="0"/>
          </reference>
        </references>
      </pivotArea>
    </chartFormat>
    <chartFormat chart="34" format="0" series="1">
      <pivotArea type="data" outline="0" fieldPosition="0">
        <references count="1">
          <reference field="4294967294" count="1" selected="0">
            <x v="0"/>
          </reference>
        </references>
      </pivotArea>
    </chartFormat>
    <chartFormat chart="34" format="1" series="1">
      <pivotArea type="data" outline="0" fieldPosition="0">
        <references count="1">
          <reference field="4294967294" count="1" selected="0">
            <x v="1"/>
          </reference>
        </references>
      </pivotArea>
    </chartFormat>
    <chartFormat chart="42" format="4"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303355-7FC4-4F12-BA45-C8FDF2A81469}"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8">
    <pivotField showAll="0"/>
    <pivotField showAll="0">
      <items count="3">
        <item x="0"/>
        <item x="1"/>
        <item t="default"/>
      </items>
    </pivotField>
    <pivotField showAll="0"/>
    <pivotField showAll="0">
      <items count="5">
        <item h="1" x="2"/>
        <item x="1"/>
        <item h="1" x="0"/>
        <item h="1" x="3"/>
        <item t="default"/>
      </items>
    </pivotField>
    <pivotField showAll="0"/>
    <pivotField showAll="0">
      <items count="3">
        <item x="1"/>
        <item x="0"/>
        <item t="default"/>
      </items>
    </pivotField>
    <pivotField showAll="0">
      <items count="5">
        <item x="3"/>
        <item x="2"/>
        <item x="1"/>
        <item x="0"/>
        <item t="default"/>
      </items>
    </pivotField>
    <pivotField dataField="1" showAll="0"/>
  </pivotFields>
  <rowItems count="1">
    <i/>
  </rowItems>
  <colItems count="1">
    <i/>
  </colItems>
  <dataFields count="1">
    <dataField name="Sum of charges" fld="7" baseField="0" baseItem="0" numFmtId="164"/>
  </dataFields>
  <formats count="1">
    <format dxfId="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0EF87F3-82F0-4767-9440-AEA207B953BB}" name="PivotTable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A62:C67" firstHeaderRow="0" firstDataRow="1" firstDataCol="1"/>
  <pivotFields count="8">
    <pivotField showAll="0"/>
    <pivotField showAll="0">
      <items count="3">
        <item x="0"/>
        <item x="1"/>
        <item t="default"/>
      </items>
    </pivotField>
    <pivotField dataField="1" showAll="0"/>
    <pivotField showAll="0">
      <items count="5">
        <item h="1" x="2"/>
        <item x="1"/>
        <item h="1" x="0"/>
        <item h="1" x="3"/>
        <item t="default"/>
      </items>
    </pivotField>
    <pivotField showAll="0"/>
    <pivotField showAll="0">
      <items count="3">
        <item x="1"/>
        <item x="0"/>
        <item t="default"/>
      </items>
    </pivotField>
    <pivotField axis="axisRow" showAll="0">
      <items count="5">
        <item x="3"/>
        <item x="2"/>
        <item x="1"/>
        <item x="0"/>
        <item t="default"/>
      </items>
    </pivotField>
    <pivotField dataField="1" showAll="0"/>
  </pivotFields>
  <rowFields count="1">
    <field x="6"/>
  </rowFields>
  <rowItems count="5">
    <i>
      <x/>
    </i>
    <i>
      <x v="1"/>
    </i>
    <i>
      <x v="2"/>
    </i>
    <i>
      <x v="3"/>
    </i>
    <i t="grand">
      <x/>
    </i>
  </rowItems>
  <colFields count="1">
    <field x="-2"/>
  </colFields>
  <colItems count="2">
    <i>
      <x/>
    </i>
    <i i="1">
      <x v="1"/>
    </i>
  </colItems>
  <dataFields count="2">
    <dataField name="Average of bmi" fld="2" subtotal="average" baseField="6" baseItem="0" numFmtId="2"/>
    <dataField name="Average of charges" fld="7" subtotal="average" baseField="6" baseItem="0"/>
  </dataFields>
  <formats count="2">
    <format dxfId="47">
      <pivotArea outline="0" collapsedLevelsAreSubtotals="1" fieldPosition="0"/>
    </format>
    <format dxfId="46">
      <pivotArea outline="0" collapsedLevelsAreSubtotals="1" fieldPosition="0">
        <references count="1">
          <reference field="4294967294" count="1" selected="0">
            <x v="0"/>
          </reference>
        </references>
      </pivotArea>
    </format>
  </formats>
  <chartFormats count="40">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32" format="0"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1"/>
          </reference>
        </references>
      </pivotArea>
    </chartFormat>
    <chartFormat chart="32" format="2">
      <pivotArea type="data" outline="0" fieldPosition="0">
        <references count="2">
          <reference field="4294967294" count="1" selected="0">
            <x v="0"/>
          </reference>
          <reference field="6" count="1" selected="0">
            <x v="0"/>
          </reference>
        </references>
      </pivotArea>
    </chartFormat>
    <chartFormat chart="32" format="3">
      <pivotArea type="data" outline="0" fieldPosition="0">
        <references count="2">
          <reference field="4294967294" count="1" selected="0">
            <x v="1"/>
          </reference>
          <reference field="6" count="1" selected="0">
            <x v="3"/>
          </reference>
        </references>
      </pivotArea>
    </chartFormat>
    <chartFormat chart="32" format="4">
      <pivotArea type="data" outline="0" fieldPosition="0">
        <references count="2">
          <reference field="4294967294" count="1" selected="0">
            <x v="1"/>
          </reference>
          <reference field="6" count="1" selected="0">
            <x v="2"/>
          </reference>
        </references>
      </pivotArea>
    </chartFormat>
    <chartFormat chart="32" format="5">
      <pivotArea type="data" outline="0" fieldPosition="0">
        <references count="2">
          <reference field="4294967294" count="1" selected="0">
            <x v="1"/>
          </reference>
          <reference field="6" count="1" selected="0">
            <x v="1"/>
          </reference>
        </references>
      </pivotArea>
    </chartFormat>
    <chartFormat chart="32" format="6">
      <pivotArea type="data" outline="0" fieldPosition="0">
        <references count="2">
          <reference field="4294967294" count="1" selected="0">
            <x v="1"/>
          </reference>
          <reference field="6" count="1" selected="0">
            <x v="0"/>
          </reference>
        </references>
      </pivotArea>
    </chartFormat>
    <chartFormat chart="32" format="7">
      <pivotArea type="data" outline="0" fieldPosition="0">
        <references count="2">
          <reference field="4294967294" count="1" selected="0">
            <x v="0"/>
          </reference>
          <reference field="6" count="1" selected="0">
            <x v="1"/>
          </reference>
        </references>
      </pivotArea>
    </chartFormat>
    <chartFormat chart="32" format="8">
      <pivotArea type="data" outline="0" fieldPosition="0">
        <references count="2">
          <reference field="4294967294" count="1" selected="0">
            <x v="0"/>
          </reference>
          <reference field="6" count="1" selected="0">
            <x v="2"/>
          </reference>
        </references>
      </pivotArea>
    </chartFormat>
    <chartFormat chart="32" format="9">
      <pivotArea type="data" outline="0" fieldPosition="0">
        <references count="2">
          <reference field="4294967294" count="1" selected="0">
            <x v="0"/>
          </reference>
          <reference field="6" count="1" selected="0">
            <x v="3"/>
          </reference>
        </references>
      </pivotArea>
    </chartFormat>
    <chartFormat chart="39" format="12" series="1">
      <pivotArea type="data" outline="0" fieldPosition="0">
        <references count="1">
          <reference field="4294967294" count="1" selected="0">
            <x v="0"/>
          </reference>
        </references>
      </pivotArea>
    </chartFormat>
    <chartFormat chart="39" format="13">
      <pivotArea type="data" outline="0" fieldPosition="0">
        <references count="2">
          <reference field="4294967294" count="1" selected="0">
            <x v="0"/>
          </reference>
          <reference field="6" count="1" selected="0">
            <x v="0"/>
          </reference>
        </references>
      </pivotArea>
    </chartFormat>
    <chartFormat chart="39" format="14">
      <pivotArea type="data" outline="0" fieldPosition="0">
        <references count="2">
          <reference field="4294967294" count="1" selected="0">
            <x v="0"/>
          </reference>
          <reference field="6" count="1" selected="0">
            <x v="1"/>
          </reference>
        </references>
      </pivotArea>
    </chartFormat>
    <chartFormat chart="39" format="15">
      <pivotArea type="data" outline="0" fieldPosition="0">
        <references count="2">
          <reference field="4294967294" count="1" selected="0">
            <x v="0"/>
          </reference>
          <reference field="6" count="1" selected="0">
            <x v="2"/>
          </reference>
        </references>
      </pivotArea>
    </chartFormat>
    <chartFormat chart="39" format="16">
      <pivotArea type="data" outline="0" fieldPosition="0">
        <references count="2">
          <reference field="4294967294" count="1" selected="0">
            <x v="0"/>
          </reference>
          <reference field="6" count="1" selected="0">
            <x v="3"/>
          </reference>
        </references>
      </pivotArea>
    </chartFormat>
    <chartFormat chart="39" format="17" series="1">
      <pivotArea type="data" outline="0" fieldPosition="0">
        <references count="1">
          <reference field="4294967294" count="1" selected="0">
            <x v="1"/>
          </reference>
        </references>
      </pivotArea>
    </chartFormat>
    <chartFormat chart="39" format="18">
      <pivotArea type="data" outline="0" fieldPosition="0">
        <references count="2">
          <reference field="4294967294" count="1" selected="0">
            <x v="1"/>
          </reference>
          <reference field="6" count="1" selected="0">
            <x v="0"/>
          </reference>
        </references>
      </pivotArea>
    </chartFormat>
    <chartFormat chart="39" format="19">
      <pivotArea type="data" outline="0" fieldPosition="0">
        <references count="2">
          <reference field="4294967294" count="1" selected="0">
            <x v="1"/>
          </reference>
          <reference field="6" count="1" selected="0">
            <x v="1"/>
          </reference>
        </references>
      </pivotArea>
    </chartFormat>
    <chartFormat chart="39" format="20">
      <pivotArea type="data" outline="0" fieldPosition="0">
        <references count="2">
          <reference field="4294967294" count="1" selected="0">
            <x v="1"/>
          </reference>
          <reference field="6" count="1" selected="0">
            <x v="2"/>
          </reference>
        </references>
      </pivotArea>
    </chartFormat>
    <chartFormat chart="39" format="21">
      <pivotArea type="data" outline="0" fieldPosition="0">
        <references count="2">
          <reference field="4294967294" count="1" selected="0">
            <x v="1"/>
          </reference>
          <reference field="6" count="1" selected="0">
            <x v="3"/>
          </reference>
        </references>
      </pivotArea>
    </chartFormat>
    <chartFormat chart="40" format="20" series="1">
      <pivotArea type="data" outline="0" fieldPosition="0">
        <references count="1">
          <reference field="4294967294" count="1" selected="0">
            <x v="0"/>
          </reference>
        </references>
      </pivotArea>
    </chartFormat>
    <chartFormat chart="40" format="21">
      <pivotArea type="data" outline="0" fieldPosition="0">
        <references count="2">
          <reference field="4294967294" count="1" selected="0">
            <x v="0"/>
          </reference>
          <reference field="6" count="1" selected="0">
            <x v="0"/>
          </reference>
        </references>
      </pivotArea>
    </chartFormat>
    <chartFormat chart="40" format="22">
      <pivotArea type="data" outline="0" fieldPosition="0">
        <references count="2">
          <reference field="4294967294" count="1" selected="0">
            <x v="0"/>
          </reference>
          <reference field="6" count="1" selected="0">
            <x v="1"/>
          </reference>
        </references>
      </pivotArea>
    </chartFormat>
    <chartFormat chart="40" format="23">
      <pivotArea type="data" outline="0" fieldPosition="0">
        <references count="2">
          <reference field="4294967294" count="1" selected="0">
            <x v="0"/>
          </reference>
          <reference field="6" count="1" selected="0">
            <x v="2"/>
          </reference>
        </references>
      </pivotArea>
    </chartFormat>
    <chartFormat chart="40" format="24">
      <pivotArea type="data" outline="0" fieldPosition="0">
        <references count="2">
          <reference field="4294967294" count="1" selected="0">
            <x v="0"/>
          </reference>
          <reference field="6" count="1" selected="0">
            <x v="3"/>
          </reference>
        </references>
      </pivotArea>
    </chartFormat>
    <chartFormat chart="40" format="25" series="1">
      <pivotArea type="data" outline="0" fieldPosition="0">
        <references count="1">
          <reference field="4294967294" count="1" selected="0">
            <x v="1"/>
          </reference>
        </references>
      </pivotArea>
    </chartFormat>
    <chartFormat chart="40" format="26">
      <pivotArea type="data" outline="0" fieldPosition="0">
        <references count="2">
          <reference field="4294967294" count="1" selected="0">
            <x v="1"/>
          </reference>
          <reference field="6" count="1" selected="0">
            <x v="0"/>
          </reference>
        </references>
      </pivotArea>
    </chartFormat>
    <chartFormat chart="40" format="27">
      <pivotArea type="data" outline="0" fieldPosition="0">
        <references count="2">
          <reference field="4294967294" count="1" selected="0">
            <x v="1"/>
          </reference>
          <reference field="6" count="1" selected="0">
            <x v="1"/>
          </reference>
        </references>
      </pivotArea>
    </chartFormat>
    <chartFormat chart="40" format="28">
      <pivotArea type="data" outline="0" fieldPosition="0">
        <references count="2">
          <reference field="4294967294" count="1" selected="0">
            <x v="1"/>
          </reference>
          <reference field="6" count="1" selected="0">
            <x v="2"/>
          </reference>
        </references>
      </pivotArea>
    </chartFormat>
    <chartFormat chart="40" format="29">
      <pivotArea type="data" outline="0" fieldPosition="0">
        <references count="2">
          <reference field="4294967294" count="1" selected="0">
            <x v="1"/>
          </reference>
          <reference field="6" count="1" selected="0">
            <x v="3"/>
          </reference>
        </references>
      </pivotArea>
    </chartFormat>
    <chartFormat chart="20" format="2">
      <pivotArea type="data" outline="0" fieldPosition="0">
        <references count="2">
          <reference field="4294967294" count="1" selected="0">
            <x v="0"/>
          </reference>
          <reference field="6" count="1" selected="0">
            <x v="0"/>
          </reference>
        </references>
      </pivotArea>
    </chartFormat>
    <chartFormat chart="20" format="3">
      <pivotArea type="data" outline="0" fieldPosition="0">
        <references count="2">
          <reference field="4294967294" count="1" selected="0">
            <x v="0"/>
          </reference>
          <reference field="6" count="1" selected="0">
            <x v="1"/>
          </reference>
        </references>
      </pivotArea>
    </chartFormat>
    <chartFormat chart="20" format="4">
      <pivotArea type="data" outline="0" fieldPosition="0">
        <references count="2">
          <reference field="4294967294" count="1" selected="0">
            <x v="0"/>
          </reference>
          <reference field="6" count="1" selected="0">
            <x v="2"/>
          </reference>
        </references>
      </pivotArea>
    </chartFormat>
    <chartFormat chart="20" format="5">
      <pivotArea type="data" outline="0" fieldPosition="0">
        <references count="2">
          <reference field="4294967294" count="1" selected="0">
            <x v="0"/>
          </reference>
          <reference field="6" count="1" selected="0">
            <x v="3"/>
          </reference>
        </references>
      </pivotArea>
    </chartFormat>
    <chartFormat chart="20" format="6">
      <pivotArea type="data" outline="0" fieldPosition="0">
        <references count="2">
          <reference field="4294967294" count="1" selected="0">
            <x v="1"/>
          </reference>
          <reference field="6" count="1" selected="0">
            <x v="0"/>
          </reference>
        </references>
      </pivotArea>
    </chartFormat>
    <chartFormat chart="20" format="7">
      <pivotArea type="data" outline="0" fieldPosition="0">
        <references count="2">
          <reference field="4294967294" count="1" selected="0">
            <x v="1"/>
          </reference>
          <reference field="6" count="1" selected="0">
            <x v="1"/>
          </reference>
        </references>
      </pivotArea>
    </chartFormat>
    <chartFormat chart="20" format="8">
      <pivotArea type="data" outline="0" fieldPosition="0">
        <references count="2">
          <reference field="4294967294" count="1" selected="0">
            <x v="1"/>
          </reference>
          <reference field="6" count="1" selected="0">
            <x v="2"/>
          </reference>
        </references>
      </pivotArea>
    </chartFormat>
    <chartFormat chart="20" format="9">
      <pivotArea type="data" outline="0" fieldPosition="0">
        <references count="2">
          <reference field="4294967294" count="1" selected="0">
            <x v="1"/>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24C31B8F-2D04-476C-8DBC-600780095C50}" sourceName="sex">
  <pivotTables>
    <pivotTable tabId="11" name="PivotTable2"/>
    <pivotTable tabId="11" name="PivotTable1"/>
    <pivotTable tabId="11" name="PivotTable10"/>
    <pivotTable tabId="11" name="PivotTable3"/>
    <pivotTable tabId="11" name="PivotTable7"/>
    <pivotTable tabId="11" name="PivotTable8"/>
    <pivotTable tabId="11" name="PivotTable9"/>
  </pivotTables>
  <data>
    <tabular pivotCacheId="132597277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_Category" xr10:uid="{CA69DCDC-620E-45A8-9B7C-BDCDC973CF42}" sourceName="Bmi Category">
  <pivotTables>
    <pivotTable tabId="11" name="PivotTable2"/>
    <pivotTable tabId="11" name="PivotTable1"/>
    <pivotTable tabId="11" name="PivotTable10"/>
    <pivotTable tabId="11" name="PivotTable3"/>
    <pivotTable tabId="11" name="PivotTable7"/>
    <pivotTable tabId="11" name="PivotTable8"/>
    <pivotTable tabId="11" name="PivotTable9"/>
  </pivotTables>
  <data>
    <tabular pivotCacheId="1325972776">
      <items count="4">
        <i x="2"/>
        <i x="1" s="1"/>
        <i x="0"/>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77455B73-D536-4509-9573-692F430CF6F3}" sourceName="smoker">
  <pivotTables>
    <pivotTable tabId="11" name="PivotTable2"/>
    <pivotTable tabId="11" name="PivotTable1"/>
    <pivotTable tabId="11" name="PivotTable10"/>
    <pivotTable tabId="11" name="PivotTable3"/>
    <pivotTable tabId="11" name="PivotTable7"/>
    <pivotTable tabId="11" name="PivotTable8"/>
    <pivotTable tabId="11" name="PivotTable9"/>
  </pivotTables>
  <data>
    <tabular pivotCacheId="1325972776">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29EAAFF-BCE1-485C-A64C-358F95001727}" sourceName="region">
  <pivotTables>
    <pivotTable tabId="11" name="PivotTable2"/>
    <pivotTable tabId="11" name="PivotTable1"/>
    <pivotTable tabId="11" name="PivotTable10"/>
    <pivotTable tabId="11" name="PivotTable3"/>
    <pivotTable tabId="11" name="PivotTable7"/>
    <pivotTable tabId="11" name="PivotTable8"/>
    <pivotTable tabId="11" name="PivotTable9"/>
  </pivotTables>
  <data>
    <tabular pivotCacheId="1325972776">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x" xr10:uid="{13DD4985-6084-42A2-9026-65EEF608E326}" cache="Slicer_sex" caption="sex" rowHeight="234950"/>
  <slicer name="Bmi Category" xr10:uid="{E03F7B5F-E3A1-4933-81FA-1B0D7FAA5BA7}" cache="Slicer_Bmi_Category" caption="Bmi Category" rowHeight="234950"/>
  <slicer name="smoker" xr10:uid="{2312DE2E-0598-4F69-84B7-96216DB96EBE}" cache="Slicer_smoker" caption="smoker" rowHeight="234950"/>
  <slicer name="region" xr10:uid="{451A57E2-F0EC-4A06-AFD7-A8EF16756B86}"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51778-373B-42EE-8ABE-82315A82B653}">
  <dimension ref="A3:C112"/>
  <sheetViews>
    <sheetView zoomScale="69" zoomScaleNormal="99" workbookViewId="0">
      <selection activeCell="A4" sqref="A4"/>
    </sheetView>
  </sheetViews>
  <sheetFormatPr defaultRowHeight="14.4" x14ac:dyDescent="0.3"/>
  <cols>
    <col min="1" max="1" width="14.109375" bestFit="1" customWidth="1"/>
    <col min="2" max="2" width="15.88671875" bestFit="1" customWidth="1"/>
    <col min="3" max="3" width="16" bestFit="1" customWidth="1"/>
  </cols>
  <sheetData>
    <row r="3" spans="1:3" x14ac:dyDescent="0.3">
      <c r="A3" t="s">
        <v>29</v>
      </c>
    </row>
    <row r="4" spans="1:3" x14ac:dyDescent="0.3">
      <c r="A4" s="3">
        <v>10958663.709490009</v>
      </c>
    </row>
    <row r="6" spans="1:3" x14ac:dyDescent="0.3">
      <c r="A6" s="1" t="s">
        <v>27</v>
      </c>
      <c r="B6" t="s">
        <v>30</v>
      </c>
      <c r="C6" t="s">
        <v>31</v>
      </c>
    </row>
    <row r="7" spans="1:3" x14ac:dyDescent="0.3">
      <c r="A7" s="2" t="s">
        <v>7</v>
      </c>
      <c r="B7" s="3">
        <v>14370.66653245508</v>
      </c>
      <c r="C7" s="8">
        <v>35.210613772455105</v>
      </c>
    </row>
    <row r="8" spans="1:3" x14ac:dyDescent="0.3">
      <c r="A8" s="2" t="s">
        <v>10</v>
      </c>
      <c r="B8" s="3">
        <v>16556.078192607511</v>
      </c>
      <c r="C8" s="8">
        <v>35.315658602150549</v>
      </c>
    </row>
    <row r="9" spans="1:3" x14ac:dyDescent="0.3">
      <c r="A9" s="2" t="s">
        <v>28</v>
      </c>
      <c r="B9" s="3">
        <v>15522.186557351279</v>
      </c>
      <c r="C9" s="8">
        <v>35.265963172804526</v>
      </c>
    </row>
    <row r="21" spans="1:2" x14ac:dyDescent="0.3">
      <c r="A21" s="1" t="s">
        <v>27</v>
      </c>
      <c r="B21" t="s">
        <v>30</v>
      </c>
    </row>
    <row r="22" spans="1:2" x14ac:dyDescent="0.3">
      <c r="A22" s="2" t="s">
        <v>11</v>
      </c>
      <c r="B22" s="3">
        <v>8842.6915475266815</v>
      </c>
    </row>
    <row r="23" spans="1:2" x14ac:dyDescent="0.3">
      <c r="A23" s="2" t="s">
        <v>8</v>
      </c>
      <c r="B23" s="3">
        <v>41590.7712484722</v>
      </c>
    </row>
    <row r="24" spans="1:2" x14ac:dyDescent="0.3">
      <c r="A24" s="2" t="s">
        <v>28</v>
      </c>
      <c r="B24" s="3">
        <v>15522.186557351271</v>
      </c>
    </row>
    <row r="37" spans="1:3" x14ac:dyDescent="0.3">
      <c r="A37" s="1" t="s">
        <v>27</v>
      </c>
      <c r="B37" t="s">
        <v>29</v>
      </c>
      <c r="C37" t="s">
        <v>33</v>
      </c>
    </row>
    <row r="38" spans="1:3" x14ac:dyDescent="0.3">
      <c r="A38" s="2" t="s">
        <v>7</v>
      </c>
      <c r="B38" s="3">
        <v>4799802.6218399964</v>
      </c>
      <c r="C38" s="8">
        <v>373</v>
      </c>
    </row>
    <row r="39" spans="1:3" x14ac:dyDescent="0.3">
      <c r="A39" s="2" t="s">
        <v>10</v>
      </c>
      <c r="B39" s="3">
        <v>6158861.0876499936</v>
      </c>
      <c r="C39" s="8">
        <v>409</v>
      </c>
    </row>
    <row r="40" spans="1:3" x14ac:dyDescent="0.3">
      <c r="A40" s="2" t="s">
        <v>28</v>
      </c>
      <c r="B40" s="3">
        <v>10958663.70948999</v>
      </c>
      <c r="C40" s="8">
        <v>782</v>
      </c>
    </row>
    <row r="62" spans="1:3" x14ac:dyDescent="0.3">
      <c r="A62" s="1" t="s">
        <v>27</v>
      </c>
      <c r="B62" t="s">
        <v>31</v>
      </c>
      <c r="C62" t="s">
        <v>30</v>
      </c>
    </row>
    <row r="63" spans="1:3" x14ac:dyDescent="0.3">
      <c r="A63" s="2" t="s">
        <v>14</v>
      </c>
      <c r="B63" s="4">
        <v>34.581993006993002</v>
      </c>
      <c r="C63" s="3">
        <v>16565.816923356644</v>
      </c>
    </row>
    <row r="64" spans="1:3" x14ac:dyDescent="0.3">
      <c r="A64" s="2" t="s">
        <v>13</v>
      </c>
      <c r="B64" s="4">
        <v>33.72307432432433</v>
      </c>
      <c r="C64" s="3">
        <v>14309.98529324324</v>
      </c>
    </row>
    <row r="65" spans="1:3" x14ac:dyDescent="0.3">
      <c r="A65" s="2" t="s">
        <v>12</v>
      </c>
      <c r="B65" s="4">
        <v>36.903415637860085</v>
      </c>
      <c r="C65" s="3">
        <v>16282.346012757203</v>
      </c>
    </row>
    <row r="66" spans="1:3" x14ac:dyDescent="0.3">
      <c r="A66" s="2" t="s">
        <v>9</v>
      </c>
      <c r="B66" s="4">
        <v>34.848837209302317</v>
      </c>
      <c r="C66" s="3">
        <v>14623.627819476738</v>
      </c>
    </row>
    <row r="67" spans="1:3" x14ac:dyDescent="0.3">
      <c r="A67" s="2" t="s">
        <v>28</v>
      </c>
      <c r="B67" s="4">
        <v>35.265963172804533</v>
      </c>
      <c r="C67" s="3">
        <v>15522.186557351279</v>
      </c>
    </row>
    <row r="77" spans="1:3" x14ac:dyDescent="0.3">
      <c r="A77" s="1" t="s">
        <v>27</v>
      </c>
      <c r="B77" t="s">
        <v>32</v>
      </c>
      <c r="C77" t="s">
        <v>29</v>
      </c>
    </row>
    <row r="78" spans="1:3" x14ac:dyDescent="0.3">
      <c r="A78" s="2" t="s">
        <v>14</v>
      </c>
      <c r="B78" s="5">
        <v>143</v>
      </c>
      <c r="C78" s="3">
        <v>2368911.8200400001</v>
      </c>
    </row>
    <row r="79" spans="1:3" x14ac:dyDescent="0.3">
      <c r="A79" s="2" t="s">
        <v>13</v>
      </c>
      <c r="B79" s="5">
        <v>148</v>
      </c>
      <c r="C79" s="3">
        <v>2117877.8233999996</v>
      </c>
    </row>
    <row r="80" spans="1:3" x14ac:dyDescent="0.3">
      <c r="A80" s="2" t="s">
        <v>12</v>
      </c>
      <c r="B80" s="5">
        <v>243</v>
      </c>
      <c r="C80" s="3">
        <v>3956610.0811000005</v>
      </c>
    </row>
    <row r="81" spans="1:3" x14ac:dyDescent="0.3">
      <c r="A81" s="2" t="s">
        <v>9</v>
      </c>
      <c r="B81" s="5">
        <v>172</v>
      </c>
      <c r="C81" s="3">
        <v>2515263.984949999</v>
      </c>
    </row>
    <row r="82" spans="1:3" x14ac:dyDescent="0.3">
      <c r="A82" s="2" t="s">
        <v>28</v>
      </c>
      <c r="B82" s="5">
        <v>706</v>
      </c>
      <c r="C82" s="3">
        <v>10958663.709490003</v>
      </c>
    </row>
    <row r="110" spans="1:2" x14ac:dyDescent="0.3">
      <c r="A110" s="1" t="s">
        <v>27</v>
      </c>
      <c r="B110" s="6" t="s">
        <v>34</v>
      </c>
    </row>
    <row r="111" spans="1:2" x14ac:dyDescent="0.3">
      <c r="A111" s="2" t="s">
        <v>36</v>
      </c>
      <c r="B111" s="8">
        <v>706</v>
      </c>
    </row>
    <row r="112" spans="1:2" x14ac:dyDescent="0.3">
      <c r="A112" s="2" t="s">
        <v>28</v>
      </c>
      <c r="B112" s="8">
        <v>706</v>
      </c>
    </row>
  </sheetData>
  <pageMargins left="0.7" right="0.7" top="0.75" bottom="0.75" header="0.3" footer="0.3"/>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B890A-4F30-4EB8-AF5C-6D27E38AB904}">
  <dimension ref="A1"/>
  <sheetViews>
    <sheetView showGridLines="0" tabSelected="1" zoomScale="44" zoomScaleNormal="78" workbookViewId="0">
      <selection activeCell="D5" sqref="D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9370D-B1EA-4611-86C6-18593407DF3C}">
  <dimension ref="A1:M1339"/>
  <sheetViews>
    <sheetView zoomScale="93" workbookViewId="0">
      <selection activeCell="J19" sqref="J19"/>
    </sheetView>
  </sheetViews>
  <sheetFormatPr defaultRowHeight="14.4" x14ac:dyDescent="0.3"/>
  <cols>
    <col min="3" max="4" width="16.109375" customWidth="1"/>
    <col min="5" max="5" width="13.109375" customWidth="1"/>
    <col min="7" max="7" width="33.33203125" customWidth="1"/>
    <col min="8" max="8" width="19.88671875" customWidth="1"/>
    <col min="9" max="9" width="18.33203125" customWidth="1"/>
    <col min="10" max="10" width="27.5546875" customWidth="1"/>
    <col min="11" max="11" width="29" customWidth="1"/>
    <col min="12" max="12" width="30.88671875" customWidth="1"/>
    <col min="13" max="13" width="21.33203125" customWidth="1"/>
  </cols>
  <sheetData>
    <row r="1" spans="1:13" x14ac:dyDescent="0.3">
      <c r="A1" t="s">
        <v>0</v>
      </c>
      <c r="B1" t="s">
        <v>1</v>
      </c>
      <c r="C1" t="s">
        <v>2</v>
      </c>
      <c r="D1" t="s">
        <v>35</v>
      </c>
      <c r="E1" t="s">
        <v>3</v>
      </c>
      <c r="F1" t="s">
        <v>4</v>
      </c>
      <c r="G1" t="s">
        <v>5</v>
      </c>
      <c r="H1" t="s">
        <v>6</v>
      </c>
    </row>
    <row r="2" spans="1:13" x14ac:dyDescent="0.3">
      <c r="A2">
        <v>19</v>
      </c>
      <c r="B2" t="s">
        <v>7</v>
      </c>
      <c r="C2">
        <v>27.9</v>
      </c>
      <c r="D2" t="str">
        <f>IF(C2&lt;18.5,"Underweight",IF(C2&lt;24.9,"Normal",IF(C2&lt;30,"Overweight","Obese")))</f>
        <v>Overweight</v>
      </c>
      <c r="E2">
        <v>0</v>
      </c>
      <c r="F2" t="s">
        <v>8</v>
      </c>
      <c r="G2" t="s">
        <v>9</v>
      </c>
      <c r="H2">
        <v>16884.923999999999</v>
      </c>
    </row>
    <row r="3" spans="1:13" x14ac:dyDescent="0.3">
      <c r="A3">
        <v>18</v>
      </c>
      <c r="B3" t="s">
        <v>10</v>
      </c>
      <c r="C3">
        <v>33.770000000000003</v>
      </c>
      <c r="D3" t="str">
        <f>IF(C3&lt;18.5,"Underweight",IF(C3&lt;24.9,"Normal",IF(C3&lt;30,"Overweight","Obese")))</f>
        <v>Obese</v>
      </c>
      <c r="E3">
        <v>1</v>
      </c>
      <c r="F3" t="s">
        <v>11</v>
      </c>
      <c r="G3" t="s">
        <v>12</v>
      </c>
      <c r="H3">
        <v>1725.5523000000001</v>
      </c>
      <c r="J3" s="7" t="s">
        <v>19</v>
      </c>
      <c r="K3" s="7"/>
      <c r="L3" s="7"/>
      <c r="M3" s="7"/>
    </row>
    <row r="4" spans="1:13" x14ac:dyDescent="0.3">
      <c r="A4">
        <v>28</v>
      </c>
      <c r="B4" t="s">
        <v>10</v>
      </c>
      <c r="C4">
        <v>33</v>
      </c>
      <c r="D4" t="str">
        <f t="shared" ref="D4:D18" si="0">IF(C4&lt;18.5,"Underweight",IF(C4&lt;24.9,"Normal",IF(C4&lt;30,"Overweight","Obese")))</f>
        <v>Obese</v>
      </c>
      <c r="E4">
        <v>3</v>
      </c>
      <c r="F4" t="s">
        <v>11</v>
      </c>
      <c r="G4" t="s">
        <v>12</v>
      </c>
      <c r="H4">
        <v>4449.4620000000004</v>
      </c>
      <c r="J4" t="s">
        <v>17</v>
      </c>
      <c r="K4" t="s">
        <v>15</v>
      </c>
      <c r="L4" t="s">
        <v>16</v>
      </c>
      <c r="M4" t="s">
        <v>18</v>
      </c>
    </row>
    <row r="5" spans="1:13" x14ac:dyDescent="0.3">
      <c r="A5">
        <v>33</v>
      </c>
      <c r="B5" t="s">
        <v>10</v>
      </c>
      <c r="C5">
        <v>22.704999999999998</v>
      </c>
      <c r="D5" t="str">
        <f t="shared" si="0"/>
        <v>Normal</v>
      </c>
      <c r="E5">
        <v>0</v>
      </c>
      <c r="F5" t="s">
        <v>11</v>
      </c>
      <c r="G5" t="s">
        <v>13</v>
      </c>
      <c r="H5">
        <v>21984.47061</v>
      </c>
      <c r="J5">
        <f>SUM(H2:H1339)</f>
        <v>17755824.990759</v>
      </c>
      <c r="K5">
        <f>AVERAGE(H2:H1339)</f>
        <v>13270.422265141257</v>
      </c>
      <c r="L5">
        <f>MEDIAN(H2:H1339)</f>
        <v>9382.0329999999994</v>
      </c>
      <c r="M5">
        <f>STDEV(H2:H1339)</f>
        <v>12110.01123669401</v>
      </c>
    </row>
    <row r="6" spans="1:13" x14ac:dyDescent="0.3">
      <c r="A6">
        <v>32</v>
      </c>
      <c r="B6" t="s">
        <v>10</v>
      </c>
      <c r="C6">
        <v>28.88</v>
      </c>
      <c r="D6" t="str">
        <f t="shared" si="0"/>
        <v>Overweight</v>
      </c>
      <c r="E6">
        <v>0</v>
      </c>
      <c r="F6" t="s">
        <v>11</v>
      </c>
      <c r="G6" t="s">
        <v>13</v>
      </c>
      <c r="H6">
        <v>3866.8552</v>
      </c>
    </row>
    <row r="7" spans="1:13" x14ac:dyDescent="0.3">
      <c r="A7">
        <v>31</v>
      </c>
      <c r="B7" t="s">
        <v>7</v>
      </c>
      <c r="C7">
        <v>25.74</v>
      </c>
      <c r="D7" t="str">
        <f t="shared" si="0"/>
        <v>Overweight</v>
      </c>
      <c r="E7">
        <v>0</v>
      </c>
      <c r="F7" t="s">
        <v>11</v>
      </c>
      <c r="G7" t="s">
        <v>12</v>
      </c>
      <c r="H7">
        <v>3756.6215999999999</v>
      </c>
      <c r="J7" s="7" t="s">
        <v>20</v>
      </c>
      <c r="K7" s="7"/>
      <c r="L7" s="7"/>
      <c r="M7" s="7"/>
    </row>
    <row r="8" spans="1:13" x14ac:dyDescent="0.3">
      <c r="A8">
        <v>46</v>
      </c>
      <c r="B8" t="s">
        <v>7</v>
      </c>
      <c r="C8">
        <v>33.44</v>
      </c>
      <c r="D8" t="str">
        <f t="shared" si="0"/>
        <v>Obese</v>
      </c>
      <c r="E8">
        <v>1</v>
      </c>
      <c r="F8" t="s">
        <v>11</v>
      </c>
      <c r="G8" t="s">
        <v>12</v>
      </c>
      <c r="H8">
        <v>8240.5895999999993</v>
      </c>
      <c r="J8" t="s">
        <v>21</v>
      </c>
      <c r="K8" t="s">
        <v>22</v>
      </c>
      <c r="L8" t="s">
        <v>23</v>
      </c>
      <c r="M8" t="s">
        <v>18</v>
      </c>
    </row>
    <row r="9" spans="1:13" x14ac:dyDescent="0.3">
      <c r="A9">
        <v>37</v>
      </c>
      <c r="B9" t="s">
        <v>7</v>
      </c>
      <c r="C9">
        <v>27.74</v>
      </c>
      <c r="D9" t="str">
        <f t="shared" si="0"/>
        <v>Overweight</v>
      </c>
      <c r="E9">
        <v>3</v>
      </c>
      <c r="F9" t="s">
        <v>11</v>
      </c>
      <c r="G9" t="s">
        <v>13</v>
      </c>
      <c r="H9">
        <v>7281.5056000000004</v>
      </c>
      <c r="J9">
        <f>COUNT(A2:A1339)</f>
        <v>1338</v>
      </c>
      <c r="K9">
        <f>_xlfn.AGGREGATE(1,0,A2:A1339)</f>
        <v>39.207025411061288</v>
      </c>
      <c r="L9">
        <f>_xlfn.AGGREGATE(12,0,A2:A1339)</f>
        <v>39</v>
      </c>
      <c r="M9">
        <f>STDEV(A2:A1339)</f>
        <v>14.049960379216154</v>
      </c>
    </row>
    <row r="10" spans="1:13" x14ac:dyDescent="0.3">
      <c r="A10">
        <v>37</v>
      </c>
      <c r="B10" t="s">
        <v>10</v>
      </c>
      <c r="C10">
        <v>29.83</v>
      </c>
      <c r="D10" t="str">
        <f t="shared" si="0"/>
        <v>Overweight</v>
      </c>
      <c r="E10">
        <v>2</v>
      </c>
      <c r="F10" t="s">
        <v>11</v>
      </c>
      <c r="G10" t="s">
        <v>14</v>
      </c>
      <c r="H10">
        <v>6406.4107000000004</v>
      </c>
    </row>
    <row r="11" spans="1:13" x14ac:dyDescent="0.3">
      <c r="A11">
        <v>60</v>
      </c>
      <c r="B11" t="s">
        <v>7</v>
      </c>
      <c r="C11">
        <v>25.84</v>
      </c>
      <c r="D11" t="str">
        <f>IF(C11&lt;=18.5,"Underweight",IF(C11&lt;24.9,"Normal",IF(C11&lt;30,"Overweight","Obese")))</f>
        <v>Overweight</v>
      </c>
      <c r="E11">
        <v>0</v>
      </c>
      <c r="F11" t="s">
        <v>11</v>
      </c>
      <c r="G11" t="s">
        <v>13</v>
      </c>
      <c r="H11">
        <v>28923.136920000001</v>
      </c>
      <c r="J11" s="7" t="s">
        <v>24</v>
      </c>
      <c r="K11" s="7"/>
      <c r="L11" s="7"/>
      <c r="M11" s="7"/>
    </row>
    <row r="12" spans="1:13" x14ac:dyDescent="0.3">
      <c r="A12">
        <v>25</v>
      </c>
      <c r="B12" t="s">
        <v>10</v>
      </c>
      <c r="C12">
        <v>26.22</v>
      </c>
      <c r="D12" t="str">
        <f>IF(C12&lt;18.5,"Underweight",IF(C12&lt;24.9,"Normal",IF(C12&lt;30,"Overweight","Obese")))</f>
        <v>Overweight</v>
      </c>
      <c r="E12">
        <v>0</v>
      </c>
      <c r="F12" t="s">
        <v>11</v>
      </c>
      <c r="G12" t="s">
        <v>14</v>
      </c>
      <c r="H12">
        <v>2721.3208</v>
      </c>
      <c r="K12" t="s">
        <v>25</v>
      </c>
      <c r="L12" t="s">
        <v>26</v>
      </c>
      <c r="M12" t="s">
        <v>18</v>
      </c>
    </row>
    <row r="13" spans="1:13" x14ac:dyDescent="0.3">
      <c r="A13">
        <v>62</v>
      </c>
      <c r="B13" t="s">
        <v>7</v>
      </c>
      <c r="C13">
        <v>26.29</v>
      </c>
      <c r="D13" t="str">
        <f t="shared" si="0"/>
        <v>Overweight</v>
      </c>
      <c r="E13">
        <v>0</v>
      </c>
      <c r="F13" t="s">
        <v>8</v>
      </c>
      <c r="G13" t="s">
        <v>12</v>
      </c>
      <c r="H13">
        <v>27808.7251</v>
      </c>
      <c r="K13">
        <f>_xlfn.AGGREGATE(1,0,C2:C1339)</f>
        <v>30.627298206278009</v>
      </c>
      <c r="L13">
        <f>_xlfn.AGGREGATE(12,0,C2:C1339)</f>
        <v>30.305</v>
      </c>
      <c r="M13">
        <f>STDEV(C2:C1339)</f>
        <v>6.1175257975208099</v>
      </c>
    </row>
    <row r="14" spans="1:13" x14ac:dyDescent="0.3">
      <c r="A14">
        <v>23</v>
      </c>
      <c r="B14" t="s">
        <v>10</v>
      </c>
      <c r="C14">
        <v>34.4</v>
      </c>
      <c r="D14" t="str">
        <f t="shared" si="0"/>
        <v>Obese</v>
      </c>
      <c r="E14">
        <v>0</v>
      </c>
      <c r="F14" t="s">
        <v>11</v>
      </c>
      <c r="G14" t="s">
        <v>9</v>
      </c>
      <c r="H14">
        <v>1826.8430000000001</v>
      </c>
    </row>
    <row r="15" spans="1:13" x14ac:dyDescent="0.3">
      <c r="A15">
        <v>56</v>
      </c>
      <c r="B15" t="s">
        <v>7</v>
      </c>
      <c r="C15">
        <v>39.82</v>
      </c>
      <c r="D15" t="str">
        <f t="shared" si="0"/>
        <v>Obese</v>
      </c>
      <c r="E15">
        <v>0</v>
      </c>
      <c r="F15" t="s">
        <v>11</v>
      </c>
      <c r="G15" t="s">
        <v>12</v>
      </c>
      <c r="H15">
        <v>11090.7178</v>
      </c>
    </row>
    <row r="16" spans="1:13" x14ac:dyDescent="0.3">
      <c r="A16">
        <v>27</v>
      </c>
      <c r="B16" t="s">
        <v>10</v>
      </c>
      <c r="C16">
        <v>42.13</v>
      </c>
      <c r="D16" t="str">
        <f t="shared" si="0"/>
        <v>Obese</v>
      </c>
      <c r="E16">
        <v>0</v>
      </c>
      <c r="F16" t="s">
        <v>8</v>
      </c>
      <c r="G16" t="s">
        <v>12</v>
      </c>
      <c r="H16">
        <v>39611.757700000002</v>
      </c>
    </row>
    <row r="17" spans="1:11" x14ac:dyDescent="0.3">
      <c r="A17">
        <v>19</v>
      </c>
      <c r="B17" t="s">
        <v>10</v>
      </c>
      <c r="C17">
        <v>24.6</v>
      </c>
      <c r="D17" t="str">
        <f t="shared" si="0"/>
        <v>Normal</v>
      </c>
      <c r="E17">
        <v>1</v>
      </c>
      <c r="F17" t="s">
        <v>11</v>
      </c>
      <c r="G17" t="s">
        <v>9</v>
      </c>
      <c r="H17">
        <v>1837.2370000000001</v>
      </c>
    </row>
    <row r="18" spans="1:11" x14ac:dyDescent="0.3">
      <c r="A18">
        <v>52</v>
      </c>
      <c r="B18" t="s">
        <v>7</v>
      </c>
      <c r="C18">
        <v>30.78</v>
      </c>
      <c r="D18" t="str">
        <f t="shared" si="0"/>
        <v>Obese</v>
      </c>
      <c r="E18">
        <v>1</v>
      </c>
      <c r="F18" t="s">
        <v>11</v>
      </c>
      <c r="G18" t="s">
        <v>14</v>
      </c>
      <c r="H18">
        <v>10797.3362</v>
      </c>
      <c r="J18">
        <v>18.8</v>
      </c>
      <c r="K18" t="e">
        <f>VLOOKUP(J18,A1:H1339,MATCH(D1,A1:H1,0),0)</f>
        <v>#N/A</v>
      </c>
    </row>
    <row r="19" spans="1:11" x14ac:dyDescent="0.3">
      <c r="A19">
        <v>23</v>
      </c>
      <c r="B19" t="s">
        <v>10</v>
      </c>
      <c r="C19">
        <v>23.844999999999999</v>
      </c>
      <c r="D19" t="str">
        <f>IF(C19&lt;18.5,"Underweight",IF(C19&lt;24.9,"Normal",IF(C19&lt;30,"Overweight","Obese")))</f>
        <v>Normal</v>
      </c>
      <c r="E19">
        <v>0</v>
      </c>
      <c r="F19" t="s">
        <v>11</v>
      </c>
      <c r="G19" t="s">
        <v>14</v>
      </c>
      <c r="H19">
        <v>2395.17155</v>
      </c>
    </row>
    <row r="20" spans="1:11" x14ac:dyDescent="0.3">
      <c r="A20">
        <v>56</v>
      </c>
      <c r="B20" t="s">
        <v>10</v>
      </c>
      <c r="C20">
        <v>40.299999999999997</v>
      </c>
      <c r="D20" t="str">
        <f>IF(C20&lt;18.5,"Underweight",IF(C20&lt;24.9,"Normal",IF(C20&lt;30,"Overweight","Obese")))</f>
        <v>Obese</v>
      </c>
      <c r="E20">
        <v>0</v>
      </c>
      <c r="F20" t="s">
        <v>11</v>
      </c>
      <c r="G20" t="s">
        <v>9</v>
      </c>
      <c r="H20">
        <v>10602.385</v>
      </c>
    </row>
    <row r="21" spans="1:11" x14ac:dyDescent="0.3">
      <c r="A21">
        <v>30</v>
      </c>
      <c r="B21" t="s">
        <v>10</v>
      </c>
      <c r="C21">
        <v>18.399999999999999</v>
      </c>
      <c r="D21" t="str">
        <f t="shared" ref="D21:D84" si="1">IF(C21&lt;18.5,"Underweight",IF(C21&lt;24.9,"Normal",IF(C21&lt;30,"Overweight","Obese")))</f>
        <v>Underweight</v>
      </c>
      <c r="E21">
        <v>0</v>
      </c>
      <c r="F21" t="s">
        <v>8</v>
      </c>
      <c r="G21" t="s">
        <v>9</v>
      </c>
      <c r="H21">
        <v>36837.466999999997</v>
      </c>
    </row>
    <row r="22" spans="1:11" x14ac:dyDescent="0.3">
      <c r="A22">
        <v>60</v>
      </c>
      <c r="B22" t="s">
        <v>7</v>
      </c>
      <c r="C22">
        <v>36.005000000000003</v>
      </c>
      <c r="D22" t="str">
        <f t="shared" si="1"/>
        <v>Obese</v>
      </c>
      <c r="E22">
        <v>0</v>
      </c>
      <c r="F22" t="s">
        <v>11</v>
      </c>
      <c r="G22" t="s">
        <v>14</v>
      </c>
      <c r="H22">
        <v>13228.846949999999</v>
      </c>
    </row>
    <row r="23" spans="1:11" x14ac:dyDescent="0.3">
      <c r="A23">
        <v>30</v>
      </c>
      <c r="B23" t="s">
        <v>7</v>
      </c>
      <c r="C23">
        <v>32.4</v>
      </c>
      <c r="D23" t="str">
        <f t="shared" si="1"/>
        <v>Obese</v>
      </c>
      <c r="E23">
        <v>1</v>
      </c>
      <c r="F23" t="s">
        <v>11</v>
      </c>
      <c r="G23" t="s">
        <v>9</v>
      </c>
      <c r="H23">
        <v>4149.7359999999999</v>
      </c>
    </row>
    <row r="24" spans="1:11" x14ac:dyDescent="0.3">
      <c r="A24">
        <v>18</v>
      </c>
      <c r="B24" t="s">
        <v>10</v>
      </c>
      <c r="C24">
        <v>34.1</v>
      </c>
      <c r="D24" t="str">
        <f t="shared" si="1"/>
        <v>Obese</v>
      </c>
      <c r="E24">
        <v>0</v>
      </c>
      <c r="F24" t="s">
        <v>11</v>
      </c>
      <c r="G24" t="s">
        <v>12</v>
      </c>
      <c r="H24">
        <v>1137.011</v>
      </c>
    </row>
    <row r="25" spans="1:11" x14ac:dyDescent="0.3">
      <c r="A25">
        <v>34</v>
      </c>
      <c r="B25" t="s">
        <v>7</v>
      </c>
      <c r="C25">
        <v>31.92</v>
      </c>
      <c r="D25" t="str">
        <f t="shared" si="1"/>
        <v>Obese</v>
      </c>
      <c r="E25">
        <v>1</v>
      </c>
      <c r="F25" t="s">
        <v>8</v>
      </c>
      <c r="G25" t="s">
        <v>14</v>
      </c>
      <c r="H25">
        <v>37701.876799999998</v>
      </c>
    </row>
    <row r="26" spans="1:11" x14ac:dyDescent="0.3">
      <c r="A26">
        <v>37</v>
      </c>
      <c r="B26" t="s">
        <v>10</v>
      </c>
      <c r="C26">
        <v>28.024999999999999</v>
      </c>
      <c r="D26" t="str">
        <f t="shared" si="1"/>
        <v>Overweight</v>
      </c>
      <c r="E26">
        <v>2</v>
      </c>
      <c r="F26" t="s">
        <v>11</v>
      </c>
      <c r="G26" t="s">
        <v>13</v>
      </c>
      <c r="H26">
        <v>6203.90175</v>
      </c>
    </row>
    <row r="27" spans="1:11" x14ac:dyDescent="0.3">
      <c r="A27">
        <v>59</v>
      </c>
      <c r="B27" t="s">
        <v>7</v>
      </c>
      <c r="C27">
        <v>27.72</v>
      </c>
      <c r="D27" t="str">
        <f t="shared" si="1"/>
        <v>Overweight</v>
      </c>
      <c r="E27">
        <v>3</v>
      </c>
      <c r="F27" t="s">
        <v>11</v>
      </c>
      <c r="G27" t="s">
        <v>12</v>
      </c>
      <c r="H27">
        <v>14001.1338</v>
      </c>
    </row>
    <row r="28" spans="1:11" x14ac:dyDescent="0.3">
      <c r="A28">
        <v>63</v>
      </c>
      <c r="B28" t="s">
        <v>7</v>
      </c>
      <c r="C28">
        <v>23.085000000000001</v>
      </c>
      <c r="D28" t="str">
        <f t="shared" si="1"/>
        <v>Normal</v>
      </c>
      <c r="E28">
        <v>0</v>
      </c>
      <c r="F28" t="s">
        <v>11</v>
      </c>
      <c r="G28" t="s">
        <v>14</v>
      </c>
      <c r="H28">
        <v>14451.835150000001</v>
      </c>
    </row>
    <row r="29" spans="1:11" x14ac:dyDescent="0.3">
      <c r="A29">
        <v>55</v>
      </c>
      <c r="B29" t="s">
        <v>7</v>
      </c>
      <c r="C29">
        <v>32.774999999999999</v>
      </c>
      <c r="D29" t="str">
        <f t="shared" si="1"/>
        <v>Obese</v>
      </c>
      <c r="E29">
        <v>2</v>
      </c>
      <c r="F29" t="s">
        <v>11</v>
      </c>
      <c r="G29" t="s">
        <v>13</v>
      </c>
      <c r="H29">
        <v>12268.632250000001</v>
      </c>
    </row>
    <row r="30" spans="1:11" x14ac:dyDescent="0.3">
      <c r="A30">
        <v>23</v>
      </c>
      <c r="B30" t="s">
        <v>10</v>
      </c>
      <c r="C30">
        <v>17.385000000000002</v>
      </c>
      <c r="D30" t="str">
        <f t="shared" si="1"/>
        <v>Underweight</v>
      </c>
      <c r="E30">
        <v>1</v>
      </c>
      <c r="F30" t="s">
        <v>11</v>
      </c>
      <c r="G30" t="s">
        <v>13</v>
      </c>
      <c r="H30">
        <v>2775.1921499999999</v>
      </c>
    </row>
    <row r="31" spans="1:11" x14ac:dyDescent="0.3">
      <c r="A31">
        <v>31</v>
      </c>
      <c r="B31" t="s">
        <v>10</v>
      </c>
      <c r="C31">
        <v>36.299999999999997</v>
      </c>
      <c r="D31" t="str">
        <f t="shared" si="1"/>
        <v>Obese</v>
      </c>
      <c r="E31">
        <v>2</v>
      </c>
      <c r="F31" t="s">
        <v>8</v>
      </c>
      <c r="G31" t="s">
        <v>9</v>
      </c>
      <c r="H31">
        <v>38711</v>
      </c>
    </row>
    <row r="32" spans="1:11" x14ac:dyDescent="0.3">
      <c r="A32">
        <v>22</v>
      </c>
      <c r="B32" t="s">
        <v>10</v>
      </c>
      <c r="C32">
        <v>35.6</v>
      </c>
      <c r="D32" t="str">
        <f t="shared" si="1"/>
        <v>Obese</v>
      </c>
      <c r="E32">
        <v>0</v>
      </c>
      <c r="F32" t="s">
        <v>8</v>
      </c>
      <c r="G32" t="s">
        <v>9</v>
      </c>
      <c r="H32">
        <v>35585.576000000001</v>
      </c>
    </row>
    <row r="33" spans="1:8" x14ac:dyDescent="0.3">
      <c r="A33">
        <v>18</v>
      </c>
      <c r="B33" t="s">
        <v>7</v>
      </c>
      <c r="C33">
        <v>26.315000000000001</v>
      </c>
      <c r="D33" t="str">
        <f t="shared" si="1"/>
        <v>Overweight</v>
      </c>
      <c r="E33">
        <v>0</v>
      </c>
      <c r="F33" t="s">
        <v>11</v>
      </c>
      <c r="G33" t="s">
        <v>14</v>
      </c>
      <c r="H33">
        <v>2198.1898500000002</v>
      </c>
    </row>
    <row r="34" spans="1:8" x14ac:dyDescent="0.3">
      <c r="A34">
        <v>19</v>
      </c>
      <c r="B34" t="s">
        <v>7</v>
      </c>
      <c r="C34">
        <v>28.6</v>
      </c>
      <c r="D34" t="str">
        <f t="shared" si="1"/>
        <v>Overweight</v>
      </c>
      <c r="E34">
        <v>5</v>
      </c>
      <c r="F34" t="s">
        <v>11</v>
      </c>
      <c r="G34" t="s">
        <v>9</v>
      </c>
      <c r="H34">
        <v>4687.7969999999996</v>
      </c>
    </row>
    <row r="35" spans="1:8" x14ac:dyDescent="0.3">
      <c r="A35">
        <v>63</v>
      </c>
      <c r="B35" t="s">
        <v>10</v>
      </c>
      <c r="C35">
        <v>28.31</v>
      </c>
      <c r="D35" t="str">
        <f t="shared" si="1"/>
        <v>Overweight</v>
      </c>
      <c r="E35">
        <v>0</v>
      </c>
      <c r="F35" t="s">
        <v>11</v>
      </c>
      <c r="G35" t="s">
        <v>13</v>
      </c>
      <c r="H35">
        <v>13770.097900000001</v>
      </c>
    </row>
    <row r="36" spans="1:8" x14ac:dyDescent="0.3">
      <c r="A36">
        <v>28</v>
      </c>
      <c r="B36" t="s">
        <v>10</v>
      </c>
      <c r="C36">
        <v>15</v>
      </c>
      <c r="D36" t="str">
        <f t="shared" si="1"/>
        <v>Underweight</v>
      </c>
      <c r="E36">
        <v>1</v>
      </c>
      <c r="F36" t="s">
        <v>8</v>
      </c>
      <c r="G36" t="s">
        <v>9</v>
      </c>
      <c r="H36">
        <v>51194.559139999998</v>
      </c>
    </row>
    <row r="37" spans="1:8" x14ac:dyDescent="0.3">
      <c r="A37">
        <v>19</v>
      </c>
      <c r="B37" t="s">
        <v>10</v>
      </c>
      <c r="C37">
        <v>20.425000000000001</v>
      </c>
      <c r="D37" t="str">
        <f t="shared" si="1"/>
        <v>Normal</v>
      </c>
      <c r="E37">
        <v>0</v>
      </c>
      <c r="F37" t="s">
        <v>11</v>
      </c>
      <c r="G37" t="s">
        <v>13</v>
      </c>
      <c r="H37">
        <v>1625.4337499999999</v>
      </c>
    </row>
    <row r="38" spans="1:8" x14ac:dyDescent="0.3">
      <c r="A38">
        <v>62</v>
      </c>
      <c r="B38" t="s">
        <v>7</v>
      </c>
      <c r="C38">
        <v>32.965000000000003</v>
      </c>
      <c r="D38" t="str">
        <f t="shared" si="1"/>
        <v>Obese</v>
      </c>
      <c r="E38">
        <v>3</v>
      </c>
      <c r="F38" t="s">
        <v>11</v>
      </c>
      <c r="G38" t="s">
        <v>13</v>
      </c>
      <c r="H38">
        <v>15612.19335</v>
      </c>
    </row>
    <row r="39" spans="1:8" x14ac:dyDescent="0.3">
      <c r="A39">
        <v>26</v>
      </c>
      <c r="B39" t="s">
        <v>10</v>
      </c>
      <c r="C39">
        <v>20.8</v>
      </c>
      <c r="D39" t="str">
        <f t="shared" si="1"/>
        <v>Normal</v>
      </c>
      <c r="E39">
        <v>0</v>
      </c>
      <c r="F39" t="s">
        <v>11</v>
      </c>
      <c r="G39" t="s">
        <v>9</v>
      </c>
      <c r="H39">
        <v>2302.3000000000002</v>
      </c>
    </row>
    <row r="40" spans="1:8" x14ac:dyDescent="0.3">
      <c r="A40">
        <v>35</v>
      </c>
      <c r="B40" t="s">
        <v>10</v>
      </c>
      <c r="C40">
        <v>36.67</v>
      </c>
      <c r="D40" t="str">
        <f t="shared" si="1"/>
        <v>Obese</v>
      </c>
      <c r="E40">
        <v>1</v>
      </c>
      <c r="F40" t="s">
        <v>8</v>
      </c>
      <c r="G40" t="s">
        <v>14</v>
      </c>
      <c r="H40">
        <v>39774.276299999998</v>
      </c>
    </row>
    <row r="41" spans="1:8" x14ac:dyDescent="0.3">
      <c r="A41">
        <v>60</v>
      </c>
      <c r="B41" t="s">
        <v>10</v>
      </c>
      <c r="C41">
        <v>39.9</v>
      </c>
      <c r="D41" t="str">
        <f t="shared" si="1"/>
        <v>Obese</v>
      </c>
      <c r="E41">
        <v>0</v>
      </c>
      <c r="F41" t="s">
        <v>8</v>
      </c>
      <c r="G41" t="s">
        <v>9</v>
      </c>
      <c r="H41">
        <v>48173.360999999997</v>
      </c>
    </row>
    <row r="42" spans="1:8" x14ac:dyDescent="0.3">
      <c r="A42">
        <v>24</v>
      </c>
      <c r="B42" t="s">
        <v>7</v>
      </c>
      <c r="C42">
        <v>26.6</v>
      </c>
      <c r="D42" t="str">
        <f t="shared" si="1"/>
        <v>Overweight</v>
      </c>
      <c r="E42">
        <v>0</v>
      </c>
      <c r="F42" t="s">
        <v>11</v>
      </c>
      <c r="G42" t="s">
        <v>14</v>
      </c>
      <c r="H42">
        <v>3046.0619999999999</v>
      </c>
    </row>
    <row r="43" spans="1:8" x14ac:dyDescent="0.3">
      <c r="A43">
        <v>31</v>
      </c>
      <c r="B43" t="s">
        <v>7</v>
      </c>
      <c r="C43">
        <v>36.630000000000003</v>
      </c>
      <c r="D43" t="str">
        <f t="shared" si="1"/>
        <v>Obese</v>
      </c>
      <c r="E43">
        <v>2</v>
      </c>
      <c r="F43" t="s">
        <v>11</v>
      </c>
      <c r="G43" t="s">
        <v>12</v>
      </c>
      <c r="H43">
        <v>4949.7587000000003</v>
      </c>
    </row>
    <row r="44" spans="1:8" x14ac:dyDescent="0.3">
      <c r="A44">
        <v>41</v>
      </c>
      <c r="B44" t="s">
        <v>10</v>
      </c>
      <c r="C44">
        <v>21.78</v>
      </c>
      <c r="D44" t="str">
        <f t="shared" si="1"/>
        <v>Normal</v>
      </c>
      <c r="E44">
        <v>1</v>
      </c>
      <c r="F44" t="s">
        <v>11</v>
      </c>
      <c r="G44" t="s">
        <v>12</v>
      </c>
      <c r="H44">
        <v>6272.4772000000003</v>
      </c>
    </row>
    <row r="45" spans="1:8" x14ac:dyDescent="0.3">
      <c r="A45">
        <v>37</v>
      </c>
      <c r="B45" t="s">
        <v>7</v>
      </c>
      <c r="C45">
        <v>30.8</v>
      </c>
      <c r="D45" t="str">
        <f t="shared" si="1"/>
        <v>Obese</v>
      </c>
      <c r="E45">
        <v>2</v>
      </c>
      <c r="F45" t="s">
        <v>11</v>
      </c>
      <c r="G45" t="s">
        <v>12</v>
      </c>
      <c r="H45">
        <v>6313.759</v>
      </c>
    </row>
    <row r="46" spans="1:8" x14ac:dyDescent="0.3">
      <c r="A46">
        <v>38</v>
      </c>
      <c r="B46" t="s">
        <v>10</v>
      </c>
      <c r="C46">
        <v>37.049999999999997</v>
      </c>
      <c r="D46" t="str">
        <f t="shared" si="1"/>
        <v>Obese</v>
      </c>
      <c r="E46">
        <v>1</v>
      </c>
      <c r="F46" t="s">
        <v>11</v>
      </c>
      <c r="G46" t="s">
        <v>14</v>
      </c>
      <c r="H46">
        <v>6079.6715000000004</v>
      </c>
    </row>
    <row r="47" spans="1:8" x14ac:dyDescent="0.3">
      <c r="A47">
        <v>55</v>
      </c>
      <c r="B47" t="s">
        <v>10</v>
      </c>
      <c r="C47">
        <v>37.299999999999997</v>
      </c>
      <c r="D47" t="str">
        <f t="shared" si="1"/>
        <v>Obese</v>
      </c>
      <c r="E47">
        <v>0</v>
      </c>
      <c r="F47" t="s">
        <v>11</v>
      </c>
      <c r="G47" t="s">
        <v>9</v>
      </c>
      <c r="H47">
        <v>20630.283510000001</v>
      </c>
    </row>
    <row r="48" spans="1:8" x14ac:dyDescent="0.3">
      <c r="A48">
        <v>18</v>
      </c>
      <c r="B48" t="s">
        <v>7</v>
      </c>
      <c r="C48">
        <v>38.664999999999999</v>
      </c>
      <c r="D48" t="str">
        <f t="shared" si="1"/>
        <v>Obese</v>
      </c>
      <c r="E48">
        <v>2</v>
      </c>
      <c r="F48" t="s">
        <v>11</v>
      </c>
      <c r="G48" t="s">
        <v>14</v>
      </c>
      <c r="H48">
        <v>3393.35635</v>
      </c>
    </row>
    <row r="49" spans="1:8" x14ac:dyDescent="0.3">
      <c r="A49">
        <v>28</v>
      </c>
      <c r="B49" t="s">
        <v>7</v>
      </c>
      <c r="C49">
        <v>34.770000000000003</v>
      </c>
      <c r="D49" t="str">
        <f t="shared" si="1"/>
        <v>Obese</v>
      </c>
      <c r="E49">
        <v>0</v>
      </c>
      <c r="F49" t="s">
        <v>11</v>
      </c>
      <c r="G49" t="s">
        <v>13</v>
      </c>
      <c r="H49">
        <v>3556.9223000000002</v>
      </c>
    </row>
    <row r="50" spans="1:8" x14ac:dyDescent="0.3">
      <c r="A50">
        <v>60</v>
      </c>
      <c r="B50" t="s">
        <v>7</v>
      </c>
      <c r="C50">
        <v>24.53</v>
      </c>
      <c r="D50" t="str">
        <f t="shared" si="1"/>
        <v>Normal</v>
      </c>
      <c r="E50">
        <v>0</v>
      </c>
      <c r="F50" t="s">
        <v>11</v>
      </c>
      <c r="G50" t="s">
        <v>12</v>
      </c>
      <c r="H50">
        <v>12629.896699999999</v>
      </c>
    </row>
    <row r="51" spans="1:8" x14ac:dyDescent="0.3">
      <c r="A51">
        <v>36</v>
      </c>
      <c r="B51" t="s">
        <v>10</v>
      </c>
      <c r="C51">
        <v>35.200000000000003</v>
      </c>
      <c r="D51" t="str">
        <f t="shared" si="1"/>
        <v>Obese</v>
      </c>
      <c r="E51">
        <v>1</v>
      </c>
      <c r="F51" t="s">
        <v>8</v>
      </c>
      <c r="G51" t="s">
        <v>12</v>
      </c>
      <c r="H51">
        <v>38709.175999999999</v>
      </c>
    </row>
    <row r="52" spans="1:8" x14ac:dyDescent="0.3">
      <c r="A52">
        <v>18</v>
      </c>
      <c r="B52" t="s">
        <v>7</v>
      </c>
      <c r="C52">
        <v>35.625</v>
      </c>
      <c r="D52" t="str">
        <f t="shared" si="1"/>
        <v>Obese</v>
      </c>
      <c r="E52">
        <v>0</v>
      </c>
      <c r="F52" t="s">
        <v>11</v>
      </c>
      <c r="G52" t="s">
        <v>14</v>
      </c>
      <c r="H52">
        <v>2211.1307499999998</v>
      </c>
    </row>
    <row r="53" spans="1:8" x14ac:dyDescent="0.3">
      <c r="A53">
        <v>21</v>
      </c>
      <c r="B53" t="s">
        <v>7</v>
      </c>
      <c r="C53">
        <v>33.630000000000003</v>
      </c>
      <c r="D53" t="str">
        <f t="shared" si="1"/>
        <v>Obese</v>
      </c>
      <c r="E53">
        <v>2</v>
      </c>
      <c r="F53" t="s">
        <v>11</v>
      </c>
      <c r="G53" t="s">
        <v>13</v>
      </c>
      <c r="H53">
        <v>3579.8287</v>
      </c>
    </row>
    <row r="54" spans="1:8" x14ac:dyDescent="0.3">
      <c r="A54">
        <v>48</v>
      </c>
      <c r="B54" t="s">
        <v>10</v>
      </c>
      <c r="C54">
        <v>28</v>
      </c>
      <c r="D54" t="str">
        <f t="shared" si="1"/>
        <v>Overweight</v>
      </c>
      <c r="E54">
        <v>1</v>
      </c>
      <c r="F54" t="s">
        <v>8</v>
      </c>
      <c r="G54" t="s">
        <v>9</v>
      </c>
      <c r="H54">
        <v>23568.272000000001</v>
      </c>
    </row>
    <row r="55" spans="1:8" x14ac:dyDescent="0.3">
      <c r="A55">
        <v>36</v>
      </c>
      <c r="B55" t="s">
        <v>10</v>
      </c>
      <c r="C55">
        <v>34.43</v>
      </c>
      <c r="D55" t="str">
        <f t="shared" si="1"/>
        <v>Obese</v>
      </c>
      <c r="E55">
        <v>0</v>
      </c>
      <c r="F55" t="s">
        <v>8</v>
      </c>
      <c r="G55" t="s">
        <v>12</v>
      </c>
      <c r="H55">
        <v>37742.575700000001</v>
      </c>
    </row>
    <row r="56" spans="1:8" x14ac:dyDescent="0.3">
      <c r="A56">
        <v>40</v>
      </c>
      <c r="B56" t="s">
        <v>7</v>
      </c>
      <c r="C56">
        <v>28.69</v>
      </c>
      <c r="D56" t="str">
        <f t="shared" si="1"/>
        <v>Overweight</v>
      </c>
      <c r="E56">
        <v>3</v>
      </c>
      <c r="F56" t="s">
        <v>11</v>
      </c>
      <c r="G56" t="s">
        <v>13</v>
      </c>
      <c r="H56">
        <v>8059.6791000000003</v>
      </c>
    </row>
    <row r="57" spans="1:8" x14ac:dyDescent="0.3">
      <c r="A57">
        <v>58</v>
      </c>
      <c r="B57" t="s">
        <v>10</v>
      </c>
      <c r="C57">
        <v>36.954999999999998</v>
      </c>
      <c r="D57" t="str">
        <f t="shared" si="1"/>
        <v>Obese</v>
      </c>
      <c r="E57">
        <v>2</v>
      </c>
      <c r="F57" t="s">
        <v>8</v>
      </c>
      <c r="G57" t="s">
        <v>13</v>
      </c>
      <c r="H57">
        <v>47496.494449999998</v>
      </c>
    </row>
    <row r="58" spans="1:8" x14ac:dyDescent="0.3">
      <c r="A58">
        <v>58</v>
      </c>
      <c r="B58" t="s">
        <v>7</v>
      </c>
      <c r="C58">
        <v>31.824999999999999</v>
      </c>
      <c r="D58" t="str">
        <f t="shared" si="1"/>
        <v>Obese</v>
      </c>
      <c r="E58">
        <v>2</v>
      </c>
      <c r="F58" t="s">
        <v>11</v>
      </c>
      <c r="G58" t="s">
        <v>14</v>
      </c>
      <c r="H58">
        <v>13607.36875</v>
      </c>
    </row>
    <row r="59" spans="1:8" x14ac:dyDescent="0.3">
      <c r="A59">
        <v>18</v>
      </c>
      <c r="B59" t="s">
        <v>10</v>
      </c>
      <c r="C59">
        <v>31.68</v>
      </c>
      <c r="D59" t="str">
        <f t="shared" si="1"/>
        <v>Obese</v>
      </c>
      <c r="E59">
        <v>2</v>
      </c>
      <c r="F59" t="s">
        <v>8</v>
      </c>
      <c r="G59" t="s">
        <v>12</v>
      </c>
      <c r="H59">
        <v>34303.167200000004</v>
      </c>
    </row>
    <row r="60" spans="1:8" x14ac:dyDescent="0.3">
      <c r="A60">
        <v>53</v>
      </c>
      <c r="B60" t="s">
        <v>7</v>
      </c>
      <c r="C60">
        <v>22.88</v>
      </c>
      <c r="D60" t="str">
        <f t="shared" si="1"/>
        <v>Normal</v>
      </c>
      <c r="E60">
        <v>1</v>
      </c>
      <c r="F60" t="s">
        <v>8</v>
      </c>
      <c r="G60" t="s">
        <v>12</v>
      </c>
      <c r="H60">
        <v>23244.790199999999</v>
      </c>
    </row>
    <row r="61" spans="1:8" x14ac:dyDescent="0.3">
      <c r="A61">
        <v>34</v>
      </c>
      <c r="B61" t="s">
        <v>7</v>
      </c>
      <c r="C61">
        <v>37.335000000000001</v>
      </c>
      <c r="D61" t="str">
        <f t="shared" si="1"/>
        <v>Obese</v>
      </c>
      <c r="E61">
        <v>2</v>
      </c>
      <c r="F61" t="s">
        <v>11</v>
      </c>
      <c r="G61" t="s">
        <v>13</v>
      </c>
      <c r="H61">
        <v>5989.5236500000001</v>
      </c>
    </row>
    <row r="62" spans="1:8" x14ac:dyDescent="0.3">
      <c r="A62">
        <v>43</v>
      </c>
      <c r="B62" t="s">
        <v>10</v>
      </c>
      <c r="C62">
        <v>27.36</v>
      </c>
      <c r="D62" t="str">
        <f t="shared" si="1"/>
        <v>Overweight</v>
      </c>
      <c r="E62">
        <v>3</v>
      </c>
      <c r="F62" t="s">
        <v>11</v>
      </c>
      <c r="G62" t="s">
        <v>14</v>
      </c>
      <c r="H62">
        <v>8606.2173999999995</v>
      </c>
    </row>
    <row r="63" spans="1:8" x14ac:dyDescent="0.3">
      <c r="A63">
        <v>25</v>
      </c>
      <c r="B63" t="s">
        <v>10</v>
      </c>
      <c r="C63">
        <v>33.659999999999997</v>
      </c>
      <c r="D63" t="str">
        <f t="shared" si="1"/>
        <v>Obese</v>
      </c>
      <c r="E63">
        <v>4</v>
      </c>
      <c r="F63" t="s">
        <v>11</v>
      </c>
      <c r="G63" t="s">
        <v>12</v>
      </c>
      <c r="H63">
        <v>4504.6624000000002</v>
      </c>
    </row>
    <row r="64" spans="1:8" x14ac:dyDescent="0.3">
      <c r="A64">
        <v>64</v>
      </c>
      <c r="B64" t="s">
        <v>10</v>
      </c>
      <c r="C64">
        <v>24.7</v>
      </c>
      <c r="D64" t="str">
        <f t="shared" si="1"/>
        <v>Normal</v>
      </c>
      <c r="E64">
        <v>1</v>
      </c>
      <c r="F64" t="s">
        <v>11</v>
      </c>
      <c r="G64" t="s">
        <v>13</v>
      </c>
      <c r="H64">
        <v>30166.618170000002</v>
      </c>
    </row>
    <row r="65" spans="1:8" x14ac:dyDescent="0.3">
      <c r="A65">
        <v>28</v>
      </c>
      <c r="B65" t="s">
        <v>7</v>
      </c>
      <c r="C65">
        <v>25.934999999999999</v>
      </c>
      <c r="D65" t="str">
        <f t="shared" si="1"/>
        <v>Overweight</v>
      </c>
      <c r="E65">
        <v>1</v>
      </c>
      <c r="F65" t="s">
        <v>11</v>
      </c>
      <c r="G65" t="s">
        <v>13</v>
      </c>
      <c r="H65">
        <v>4133.6416499999996</v>
      </c>
    </row>
    <row r="66" spans="1:8" x14ac:dyDescent="0.3">
      <c r="A66">
        <v>20</v>
      </c>
      <c r="B66" t="s">
        <v>7</v>
      </c>
      <c r="C66">
        <v>22.42</v>
      </c>
      <c r="D66" t="str">
        <f t="shared" si="1"/>
        <v>Normal</v>
      </c>
      <c r="E66">
        <v>0</v>
      </c>
      <c r="F66" t="s">
        <v>8</v>
      </c>
      <c r="G66" t="s">
        <v>13</v>
      </c>
      <c r="H66">
        <v>14711.7438</v>
      </c>
    </row>
    <row r="67" spans="1:8" x14ac:dyDescent="0.3">
      <c r="A67">
        <v>19</v>
      </c>
      <c r="B67" t="s">
        <v>7</v>
      </c>
      <c r="C67">
        <v>28.9</v>
      </c>
      <c r="D67" t="str">
        <f t="shared" si="1"/>
        <v>Overweight</v>
      </c>
      <c r="E67">
        <v>0</v>
      </c>
      <c r="F67" t="s">
        <v>11</v>
      </c>
      <c r="G67" t="s">
        <v>9</v>
      </c>
      <c r="H67">
        <v>1743.2139999999999</v>
      </c>
    </row>
    <row r="68" spans="1:8" x14ac:dyDescent="0.3">
      <c r="A68">
        <v>61</v>
      </c>
      <c r="B68" t="s">
        <v>7</v>
      </c>
      <c r="C68">
        <v>39.1</v>
      </c>
      <c r="D68" t="str">
        <f t="shared" si="1"/>
        <v>Obese</v>
      </c>
      <c r="E68">
        <v>2</v>
      </c>
      <c r="F68" t="s">
        <v>11</v>
      </c>
      <c r="G68" t="s">
        <v>9</v>
      </c>
      <c r="H68">
        <v>14235.072</v>
      </c>
    </row>
    <row r="69" spans="1:8" x14ac:dyDescent="0.3">
      <c r="A69">
        <v>40</v>
      </c>
      <c r="B69" t="s">
        <v>10</v>
      </c>
      <c r="C69">
        <v>26.315000000000001</v>
      </c>
      <c r="D69" t="str">
        <f t="shared" si="1"/>
        <v>Overweight</v>
      </c>
      <c r="E69">
        <v>1</v>
      </c>
      <c r="F69" t="s">
        <v>11</v>
      </c>
      <c r="G69" t="s">
        <v>13</v>
      </c>
      <c r="H69">
        <v>6389.3778499999999</v>
      </c>
    </row>
    <row r="70" spans="1:8" x14ac:dyDescent="0.3">
      <c r="A70">
        <v>40</v>
      </c>
      <c r="B70" t="s">
        <v>7</v>
      </c>
      <c r="C70">
        <v>36.19</v>
      </c>
      <c r="D70" t="str">
        <f t="shared" si="1"/>
        <v>Obese</v>
      </c>
      <c r="E70">
        <v>0</v>
      </c>
      <c r="F70" t="s">
        <v>11</v>
      </c>
      <c r="G70" t="s">
        <v>12</v>
      </c>
      <c r="H70">
        <v>5920.1040999999996</v>
      </c>
    </row>
    <row r="71" spans="1:8" x14ac:dyDescent="0.3">
      <c r="A71">
        <v>28</v>
      </c>
      <c r="B71" t="s">
        <v>10</v>
      </c>
      <c r="C71">
        <v>23.98</v>
      </c>
      <c r="D71" t="str">
        <f t="shared" si="1"/>
        <v>Normal</v>
      </c>
      <c r="E71">
        <v>3</v>
      </c>
      <c r="F71" t="s">
        <v>8</v>
      </c>
      <c r="G71" t="s">
        <v>12</v>
      </c>
      <c r="H71">
        <v>17663.144199999999</v>
      </c>
    </row>
    <row r="72" spans="1:8" x14ac:dyDescent="0.3">
      <c r="A72">
        <v>27</v>
      </c>
      <c r="B72" t="s">
        <v>7</v>
      </c>
      <c r="C72">
        <v>24.75</v>
      </c>
      <c r="D72" t="str">
        <f t="shared" si="1"/>
        <v>Normal</v>
      </c>
      <c r="E72">
        <v>0</v>
      </c>
      <c r="F72" t="s">
        <v>8</v>
      </c>
      <c r="G72" t="s">
        <v>12</v>
      </c>
      <c r="H72">
        <v>16577.779500000001</v>
      </c>
    </row>
    <row r="73" spans="1:8" x14ac:dyDescent="0.3">
      <c r="A73">
        <v>31</v>
      </c>
      <c r="B73" t="s">
        <v>10</v>
      </c>
      <c r="C73">
        <v>28.5</v>
      </c>
      <c r="D73" t="str">
        <f t="shared" si="1"/>
        <v>Overweight</v>
      </c>
      <c r="E73">
        <v>5</v>
      </c>
      <c r="F73" t="s">
        <v>11</v>
      </c>
      <c r="G73" t="s">
        <v>14</v>
      </c>
      <c r="H73">
        <v>6799.4579999999996</v>
      </c>
    </row>
    <row r="74" spans="1:8" x14ac:dyDescent="0.3">
      <c r="A74">
        <v>53</v>
      </c>
      <c r="B74" t="s">
        <v>7</v>
      </c>
      <c r="C74">
        <v>28.1</v>
      </c>
      <c r="D74" t="str">
        <f t="shared" si="1"/>
        <v>Overweight</v>
      </c>
      <c r="E74">
        <v>3</v>
      </c>
      <c r="F74" t="s">
        <v>11</v>
      </c>
      <c r="G74" t="s">
        <v>9</v>
      </c>
      <c r="H74">
        <v>11741.726000000001</v>
      </c>
    </row>
    <row r="75" spans="1:8" x14ac:dyDescent="0.3">
      <c r="A75">
        <v>58</v>
      </c>
      <c r="B75" t="s">
        <v>10</v>
      </c>
      <c r="C75">
        <v>32.01</v>
      </c>
      <c r="D75" t="str">
        <f t="shared" si="1"/>
        <v>Obese</v>
      </c>
      <c r="E75">
        <v>1</v>
      </c>
      <c r="F75" t="s">
        <v>11</v>
      </c>
      <c r="G75" t="s">
        <v>12</v>
      </c>
      <c r="H75">
        <v>11946.625899999999</v>
      </c>
    </row>
    <row r="76" spans="1:8" x14ac:dyDescent="0.3">
      <c r="A76">
        <v>44</v>
      </c>
      <c r="B76" t="s">
        <v>10</v>
      </c>
      <c r="C76">
        <v>27.4</v>
      </c>
      <c r="D76" t="str">
        <f t="shared" si="1"/>
        <v>Overweight</v>
      </c>
      <c r="E76">
        <v>2</v>
      </c>
      <c r="F76" t="s">
        <v>11</v>
      </c>
      <c r="G76" t="s">
        <v>9</v>
      </c>
      <c r="H76">
        <v>7726.8540000000003</v>
      </c>
    </row>
    <row r="77" spans="1:8" x14ac:dyDescent="0.3">
      <c r="A77">
        <v>57</v>
      </c>
      <c r="B77" t="s">
        <v>10</v>
      </c>
      <c r="C77">
        <v>34.01</v>
      </c>
      <c r="D77" t="str">
        <f t="shared" si="1"/>
        <v>Obese</v>
      </c>
      <c r="E77">
        <v>0</v>
      </c>
      <c r="F77" t="s">
        <v>11</v>
      </c>
      <c r="G77" t="s">
        <v>13</v>
      </c>
      <c r="H77">
        <v>11356.660900000001</v>
      </c>
    </row>
    <row r="78" spans="1:8" x14ac:dyDescent="0.3">
      <c r="A78">
        <v>29</v>
      </c>
      <c r="B78" t="s">
        <v>7</v>
      </c>
      <c r="C78">
        <v>29.59</v>
      </c>
      <c r="D78" t="str">
        <f t="shared" si="1"/>
        <v>Overweight</v>
      </c>
      <c r="E78">
        <v>1</v>
      </c>
      <c r="F78" t="s">
        <v>11</v>
      </c>
      <c r="G78" t="s">
        <v>12</v>
      </c>
      <c r="H78">
        <v>3947.4131000000002</v>
      </c>
    </row>
    <row r="79" spans="1:8" x14ac:dyDescent="0.3">
      <c r="A79">
        <v>21</v>
      </c>
      <c r="B79" t="s">
        <v>10</v>
      </c>
      <c r="C79">
        <v>35.53</v>
      </c>
      <c r="D79" t="str">
        <f t="shared" si="1"/>
        <v>Obese</v>
      </c>
      <c r="E79">
        <v>0</v>
      </c>
      <c r="F79" t="s">
        <v>11</v>
      </c>
      <c r="G79" t="s">
        <v>12</v>
      </c>
      <c r="H79">
        <v>1532.4697000000001</v>
      </c>
    </row>
    <row r="80" spans="1:8" x14ac:dyDescent="0.3">
      <c r="A80">
        <v>22</v>
      </c>
      <c r="B80" t="s">
        <v>7</v>
      </c>
      <c r="C80">
        <v>39.805</v>
      </c>
      <c r="D80" t="str">
        <f t="shared" si="1"/>
        <v>Obese</v>
      </c>
      <c r="E80">
        <v>0</v>
      </c>
      <c r="F80" t="s">
        <v>11</v>
      </c>
      <c r="G80" t="s">
        <v>14</v>
      </c>
      <c r="H80">
        <v>2755.0209500000001</v>
      </c>
    </row>
    <row r="81" spans="1:8" x14ac:dyDescent="0.3">
      <c r="A81">
        <v>41</v>
      </c>
      <c r="B81" t="s">
        <v>7</v>
      </c>
      <c r="C81">
        <v>32.965000000000003</v>
      </c>
      <c r="D81" t="str">
        <f t="shared" si="1"/>
        <v>Obese</v>
      </c>
      <c r="E81">
        <v>0</v>
      </c>
      <c r="F81" t="s">
        <v>11</v>
      </c>
      <c r="G81" t="s">
        <v>13</v>
      </c>
      <c r="H81">
        <v>6571.0243499999997</v>
      </c>
    </row>
    <row r="82" spans="1:8" x14ac:dyDescent="0.3">
      <c r="A82">
        <v>31</v>
      </c>
      <c r="B82" t="s">
        <v>10</v>
      </c>
      <c r="C82">
        <v>26.885000000000002</v>
      </c>
      <c r="D82" t="str">
        <f t="shared" si="1"/>
        <v>Overweight</v>
      </c>
      <c r="E82">
        <v>1</v>
      </c>
      <c r="F82" t="s">
        <v>11</v>
      </c>
      <c r="G82" t="s">
        <v>14</v>
      </c>
      <c r="H82">
        <v>4441.2131499999996</v>
      </c>
    </row>
    <row r="83" spans="1:8" x14ac:dyDescent="0.3">
      <c r="A83">
        <v>45</v>
      </c>
      <c r="B83" t="s">
        <v>7</v>
      </c>
      <c r="C83">
        <v>38.284999999999997</v>
      </c>
      <c r="D83" t="str">
        <f t="shared" si="1"/>
        <v>Obese</v>
      </c>
      <c r="E83">
        <v>0</v>
      </c>
      <c r="F83" t="s">
        <v>11</v>
      </c>
      <c r="G83" t="s">
        <v>14</v>
      </c>
      <c r="H83">
        <v>7935.29115</v>
      </c>
    </row>
    <row r="84" spans="1:8" x14ac:dyDescent="0.3">
      <c r="A84">
        <v>22</v>
      </c>
      <c r="B84" t="s">
        <v>10</v>
      </c>
      <c r="C84">
        <v>37.619999999999997</v>
      </c>
      <c r="D84" t="str">
        <f t="shared" si="1"/>
        <v>Obese</v>
      </c>
      <c r="E84">
        <v>1</v>
      </c>
      <c r="F84" t="s">
        <v>8</v>
      </c>
      <c r="G84" t="s">
        <v>12</v>
      </c>
      <c r="H84">
        <v>37165.163800000002</v>
      </c>
    </row>
    <row r="85" spans="1:8" x14ac:dyDescent="0.3">
      <c r="A85">
        <v>48</v>
      </c>
      <c r="B85" t="s">
        <v>7</v>
      </c>
      <c r="C85">
        <v>41.23</v>
      </c>
      <c r="D85" t="str">
        <f t="shared" ref="D85:D148" si="2">IF(C85&lt;18.5,"Underweight",IF(C85&lt;24.9,"Normal",IF(C85&lt;30,"Overweight","Obese")))</f>
        <v>Obese</v>
      </c>
      <c r="E85">
        <v>4</v>
      </c>
      <c r="F85" t="s">
        <v>11</v>
      </c>
      <c r="G85" t="s">
        <v>13</v>
      </c>
      <c r="H85">
        <v>11033.661700000001</v>
      </c>
    </row>
    <row r="86" spans="1:8" x14ac:dyDescent="0.3">
      <c r="A86">
        <v>37</v>
      </c>
      <c r="B86" t="s">
        <v>7</v>
      </c>
      <c r="C86">
        <v>34.799999999999997</v>
      </c>
      <c r="D86" t="str">
        <f t="shared" si="2"/>
        <v>Obese</v>
      </c>
      <c r="E86">
        <v>2</v>
      </c>
      <c r="F86" t="s">
        <v>8</v>
      </c>
      <c r="G86" t="s">
        <v>9</v>
      </c>
      <c r="H86">
        <v>39836.519</v>
      </c>
    </row>
    <row r="87" spans="1:8" x14ac:dyDescent="0.3">
      <c r="A87">
        <v>45</v>
      </c>
      <c r="B87" t="s">
        <v>10</v>
      </c>
      <c r="C87">
        <v>22.895</v>
      </c>
      <c r="D87" t="str">
        <f t="shared" si="2"/>
        <v>Normal</v>
      </c>
      <c r="E87">
        <v>2</v>
      </c>
      <c r="F87" t="s">
        <v>8</v>
      </c>
      <c r="G87" t="s">
        <v>13</v>
      </c>
      <c r="H87">
        <v>21098.554049999999</v>
      </c>
    </row>
    <row r="88" spans="1:8" x14ac:dyDescent="0.3">
      <c r="A88">
        <v>57</v>
      </c>
      <c r="B88" t="s">
        <v>7</v>
      </c>
      <c r="C88">
        <v>31.16</v>
      </c>
      <c r="D88" t="str">
        <f t="shared" si="2"/>
        <v>Obese</v>
      </c>
      <c r="E88">
        <v>0</v>
      </c>
      <c r="F88" t="s">
        <v>8</v>
      </c>
      <c r="G88" t="s">
        <v>13</v>
      </c>
      <c r="H88">
        <v>43578.939400000003</v>
      </c>
    </row>
    <row r="89" spans="1:8" x14ac:dyDescent="0.3">
      <c r="A89">
        <v>56</v>
      </c>
      <c r="B89" t="s">
        <v>7</v>
      </c>
      <c r="C89">
        <v>27.2</v>
      </c>
      <c r="D89" t="str">
        <f t="shared" si="2"/>
        <v>Overweight</v>
      </c>
      <c r="E89">
        <v>0</v>
      </c>
      <c r="F89" t="s">
        <v>11</v>
      </c>
      <c r="G89" t="s">
        <v>9</v>
      </c>
      <c r="H89">
        <v>11073.175999999999</v>
      </c>
    </row>
    <row r="90" spans="1:8" x14ac:dyDescent="0.3">
      <c r="A90">
        <v>46</v>
      </c>
      <c r="B90" t="s">
        <v>7</v>
      </c>
      <c r="C90">
        <v>27.74</v>
      </c>
      <c r="D90" t="str">
        <f t="shared" si="2"/>
        <v>Overweight</v>
      </c>
      <c r="E90">
        <v>0</v>
      </c>
      <c r="F90" t="s">
        <v>11</v>
      </c>
      <c r="G90" t="s">
        <v>13</v>
      </c>
      <c r="H90">
        <v>8026.6665999999996</v>
      </c>
    </row>
    <row r="91" spans="1:8" x14ac:dyDescent="0.3">
      <c r="A91">
        <v>55</v>
      </c>
      <c r="B91" t="s">
        <v>7</v>
      </c>
      <c r="C91">
        <v>26.98</v>
      </c>
      <c r="D91" t="str">
        <f t="shared" si="2"/>
        <v>Overweight</v>
      </c>
      <c r="E91">
        <v>0</v>
      </c>
      <c r="F91" t="s">
        <v>11</v>
      </c>
      <c r="G91" t="s">
        <v>13</v>
      </c>
      <c r="H91">
        <v>11082.5772</v>
      </c>
    </row>
    <row r="92" spans="1:8" x14ac:dyDescent="0.3">
      <c r="A92">
        <v>21</v>
      </c>
      <c r="B92" t="s">
        <v>7</v>
      </c>
      <c r="C92">
        <v>39.49</v>
      </c>
      <c r="D92" t="str">
        <f t="shared" si="2"/>
        <v>Obese</v>
      </c>
      <c r="E92">
        <v>0</v>
      </c>
      <c r="F92" t="s">
        <v>11</v>
      </c>
      <c r="G92" t="s">
        <v>12</v>
      </c>
      <c r="H92">
        <v>2026.9740999999999</v>
      </c>
    </row>
    <row r="93" spans="1:8" x14ac:dyDescent="0.3">
      <c r="A93">
        <v>53</v>
      </c>
      <c r="B93" t="s">
        <v>7</v>
      </c>
      <c r="C93">
        <v>24.795000000000002</v>
      </c>
      <c r="D93" t="str">
        <f t="shared" si="2"/>
        <v>Normal</v>
      </c>
      <c r="E93">
        <v>1</v>
      </c>
      <c r="F93" t="s">
        <v>11</v>
      </c>
      <c r="G93" t="s">
        <v>13</v>
      </c>
      <c r="H93">
        <v>10942.13205</v>
      </c>
    </row>
    <row r="94" spans="1:8" x14ac:dyDescent="0.3">
      <c r="A94">
        <v>59</v>
      </c>
      <c r="B94" t="s">
        <v>10</v>
      </c>
      <c r="C94">
        <v>29.83</v>
      </c>
      <c r="D94" t="str">
        <f t="shared" si="2"/>
        <v>Overweight</v>
      </c>
      <c r="E94">
        <v>3</v>
      </c>
      <c r="F94" t="s">
        <v>8</v>
      </c>
      <c r="G94" t="s">
        <v>14</v>
      </c>
      <c r="H94">
        <v>30184.936699999998</v>
      </c>
    </row>
    <row r="95" spans="1:8" x14ac:dyDescent="0.3">
      <c r="A95">
        <v>35</v>
      </c>
      <c r="B95" t="s">
        <v>10</v>
      </c>
      <c r="C95">
        <v>34.770000000000003</v>
      </c>
      <c r="D95" t="str">
        <f t="shared" si="2"/>
        <v>Obese</v>
      </c>
      <c r="E95">
        <v>2</v>
      </c>
      <c r="F95" t="s">
        <v>11</v>
      </c>
      <c r="G95" t="s">
        <v>13</v>
      </c>
      <c r="H95">
        <v>5729.0052999999998</v>
      </c>
    </row>
    <row r="96" spans="1:8" x14ac:dyDescent="0.3">
      <c r="A96">
        <v>64</v>
      </c>
      <c r="B96" t="s">
        <v>7</v>
      </c>
      <c r="C96">
        <v>31.3</v>
      </c>
      <c r="D96" t="str">
        <f t="shared" si="2"/>
        <v>Obese</v>
      </c>
      <c r="E96">
        <v>2</v>
      </c>
      <c r="F96" t="s">
        <v>8</v>
      </c>
      <c r="G96" t="s">
        <v>9</v>
      </c>
      <c r="H96">
        <v>47291.055</v>
      </c>
    </row>
    <row r="97" spans="1:8" x14ac:dyDescent="0.3">
      <c r="A97">
        <v>28</v>
      </c>
      <c r="B97" t="s">
        <v>7</v>
      </c>
      <c r="C97">
        <v>37.619999999999997</v>
      </c>
      <c r="D97" t="str">
        <f t="shared" si="2"/>
        <v>Obese</v>
      </c>
      <c r="E97">
        <v>1</v>
      </c>
      <c r="F97" t="s">
        <v>11</v>
      </c>
      <c r="G97" t="s">
        <v>12</v>
      </c>
      <c r="H97">
        <v>3766.8838000000001</v>
      </c>
    </row>
    <row r="98" spans="1:8" x14ac:dyDescent="0.3">
      <c r="A98">
        <v>54</v>
      </c>
      <c r="B98" t="s">
        <v>7</v>
      </c>
      <c r="C98">
        <v>30.8</v>
      </c>
      <c r="D98" t="str">
        <f t="shared" si="2"/>
        <v>Obese</v>
      </c>
      <c r="E98">
        <v>3</v>
      </c>
      <c r="F98" t="s">
        <v>11</v>
      </c>
      <c r="G98" t="s">
        <v>9</v>
      </c>
      <c r="H98">
        <v>12105.32</v>
      </c>
    </row>
    <row r="99" spans="1:8" x14ac:dyDescent="0.3">
      <c r="A99">
        <v>55</v>
      </c>
      <c r="B99" t="s">
        <v>10</v>
      </c>
      <c r="C99">
        <v>38.28</v>
      </c>
      <c r="D99" t="str">
        <f t="shared" si="2"/>
        <v>Obese</v>
      </c>
      <c r="E99">
        <v>0</v>
      </c>
      <c r="F99" t="s">
        <v>11</v>
      </c>
      <c r="G99" t="s">
        <v>12</v>
      </c>
      <c r="H99">
        <v>10226.2842</v>
      </c>
    </row>
    <row r="100" spans="1:8" x14ac:dyDescent="0.3">
      <c r="A100">
        <v>56</v>
      </c>
      <c r="B100" t="s">
        <v>10</v>
      </c>
      <c r="C100">
        <v>19.95</v>
      </c>
      <c r="D100" t="str">
        <f t="shared" si="2"/>
        <v>Normal</v>
      </c>
      <c r="E100">
        <v>0</v>
      </c>
      <c r="F100" t="s">
        <v>8</v>
      </c>
      <c r="G100" t="s">
        <v>14</v>
      </c>
      <c r="H100">
        <v>22412.648499999999</v>
      </c>
    </row>
    <row r="101" spans="1:8" x14ac:dyDescent="0.3">
      <c r="A101">
        <v>38</v>
      </c>
      <c r="B101" t="s">
        <v>10</v>
      </c>
      <c r="C101">
        <v>19.3</v>
      </c>
      <c r="D101" t="str">
        <f t="shared" si="2"/>
        <v>Normal</v>
      </c>
      <c r="E101">
        <v>0</v>
      </c>
      <c r="F101" t="s">
        <v>8</v>
      </c>
      <c r="G101" t="s">
        <v>9</v>
      </c>
      <c r="H101">
        <v>15820.699000000001</v>
      </c>
    </row>
    <row r="102" spans="1:8" x14ac:dyDescent="0.3">
      <c r="A102">
        <v>41</v>
      </c>
      <c r="B102" t="s">
        <v>7</v>
      </c>
      <c r="C102">
        <v>31.6</v>
      </c>
      <c r="D102" t="str">
        <f t="shared" si="2"/>
        <v>Obese</v>
      </c>
      <c r="E102">
        <v>0</v>
      </c>
      <c r="F102" t="s">
        <v>11</v>
      </c>
      <c r="G102" t="s">
        <v>9</v>
      </c>
      <c r="H102">
        <v>6186.1270000000004</v>
      </c>
    </row>
    <row r="103" spans="1:8" x14ac:dyDescent="0.3">
      <c r="A103">
        <v>30</v>
      </c>
      <c r="B103" t="s">
        <v>10</v>
      </c>
      <c r="C103">
        <v>25.46</v>
      </c>
      <c r="D103" t="str">
        <f t="shared" si="2"/>
        <v>Overweight</v>
      </c>
      <c r="E103">
        <v>0</v>
      </c>
      <c r="F103" t="s">
        <v>11</v>
      </c>
      <c r="G103" t="s">
        <v>14</v>
      </c>
      <c r="H103">
        <v>3645.0893999999998</v>
      </c>
    </row>
    <row r="104" spans="1:8" x14ac:dyDescent="0.3">
      <c r="A104">
        <v>18</v>
      </c>
      <c r="B104" t="s">
        <v>7</v>
      </c>
      <c r="C104">
        <v>30.114999999999998</v>
      </c>
      <c r="D104" t="str">
        <f t="shared" si="2"/>
        <v>Obese</v>
      </c>
      <c r="E104">
        <v>0</v>
      </c>
      <c r="F104" t="s">
        <v>11</v>
      </c>
      <c r="G104" t="s">
        <v>14</v>
      </c>
      <c r="H104">
        <v>21344.846699999998</v>
      </c>
    </row>
    <row r="105" spans="1:8" x14ac:dyDescent="0.3">
      <c r="A105">
        <v>61</v>
      </c>
      <c r="B105" t="s">
        <v>7</v>
      </c>
      <c r="C105">
        <v>29.92</v>
      </c>
      <c r="D105" t="str">
        <f t="shared" si="2"/>
        <v>Overweight</v>
      </c>
      <c r="E105">
        <v>3</v>
      </c>
      <c r="F105" t="s">
        <v>8</v>
      </c>
      <c r="G105" t="s">
        <v>12</v>
      </c>
      <c r="H105">
        <v>30942.191800000001</v>
      </c>
    </row>
    <row r="106" spans="1:8" x14ac:dyDescent="0.3">
      <c r="A106">
        <v>34</v>
      </c>
      <c r="B106" t="s">
        <v>7</v>
      </c>
      <c r="C106">
        <v>27.5</v>
      </c>
      <c r="D106" t="str">
        <f t="shared" si="2"/>
        <v>Overweight</v>
      </c>
      <c r="E106">
        <v>1</v>
      </c>
      <c r="F106" t="s">
        <v>11</v>
      </c>
      <c r="G106" t="s">
        <v>9</v>
      </c>
      <c r="H106">
        <v>5003.8530000000001</v>
      </c>
    </row>
    <row r="107" spans="1:8" x14ac:dyDescent="0.3">
      <c r="A107">
        <v>20</v>
      </c>
      <c r="B107" t="s">
        <v>10</v>
      </c>
      <c r="C107">
        <v>28.024999999999999</v>
      </c>
      <c r="D107" t="str">
        <f t="shared" si="2"/>
        <v>Overweight</v>
      </c>
      <c r="E107">
        <v>1</v>
      </c>
      <c r="F107" t="s">
        <v>8</v>
      </c>
      <c r="G107" t="s">
        <v>13</v>
      </c>
      <c r="H107">
        <v>17560.37975</v>
      </c>
    </row>
    <row r="108" spans="1:8" x14ac:dyDescent="0.3">
      <c r="A108">
        <v>19</v>
      </c>
      <c r="B108" t="s">
        <v>7</v>
      </c>
      <c r="C108">
        <v>28.4</v>
      </c>
      <c r="D108" t="str">
        <f t="shared" si="2"/>
        <v>Overweight</v>
      </c>
      <c r="E108">
        <v>1</v>
      </c>
      <c r="F108" t="s">
        <v>11</v>
      </c>
      <c r="G108" t="s">
        <v>9</v>
      </c>
      <c r="H108">
        <v>2331.5189999999998</v>
      </c>
    </row>
    <row r="109" spans="1:8" x14ac:dyDescent="0.3">
      <c r="A109">
        <v>26</v>
      </c>
      <c r="B109" t="s">
        <v>10</v>
      </c>
      <c r="C109">
        <v>30.875</v>
      </c>
      <c r="D109" t="str">
        <f t="shared" si="2"/>
        <v>Obese</v>
      </c>
      <c r="E109">
        <v>2</v>
      </c>
      <c r="F109" t="s">
        <v>11</v>
      </c>
      <c r="G109" t="s">
        <v>13</v>
      </c>
      <c r="H109">
        <v>3877.3042500000001</v>
      </c>
    </row>
    <row r="110" spans="1:8" x14ac:dyDescent="0.3">
      <c r="A110">
        <v>29</v>
      </c>
      <c r="B110" t="s">
        <v>10</v>
      </c>
      <c r="C110">
        <v>27.94</v>
      </c>
      <c r="D110" t="str">
        <f t="shared" si="2"/>
        <v>Overweight</v>
      </c>
      <c r="E110">
        <v>0</v>
      </c>
      <c r="F110" t="s">
        <v>11</v>
      </c>
      <c r="G110" t="s">
        <v>12</v>
      </c>
      <c r="H110">
        <v>2867.1196</v>
      </c>
    </row>
    <row r="111" spans="1:8" x14ac:dyDescent="0.3">
      <c r="A111">
        <v>63</v>
      </c>
      <c r="B111" t="s">
        <v>10</v>
      </c>
      <c r="C111">
        <v>35.090000000000003</v>
      </c>
      <c r="D111" t="str">
        <f t="shared" si="2"/>
        <v>Obese</v>
      </c>
      <c r="E111">
        <v>0</v>
      </c>
      <c r="F111" t="s">
        <v>8</v>
      </c>
      <c r="G111" t="s">
        <v>12</v>
      </c>
      <c r="H111">
        <v>47055.532099999997</v>
      </c>
    </row>
    <row r="112" spans="1:8" x14ac:dyDescent="0.3">
      <c r="A112">
        <v>54</v>
      </c>
      <c r="B112" t="s">
        <v>10</v>
      </c>
      <c r="C112">
        <v>33.630000000000003</v>
      </c>
      <c r="D112" t="str">
        <f t="shared" si="2"/>
        <v>Obese</v>
      </c>
      <c r="E112">
        <v>1</v>
      </c>
      <c r="F112" t="s">
        <v>11</v>
      </c>
      <c r="G112" t="s">
        <v>13</v>
      </c>
      <c r="H112">
        <v>10825.253699999999</v>
      </c>
    </row>
    <row r="113" spans="1:8" x14ac:dyDescent="0.3">
      <c r="A113">
        <v>55</v>
      </c>
      <c r="B113" t="s">
        <v>7</v>
      </c>
      <c r="C113">
        <v>29.7</v>
      </c>
      <c r="D113" t="str">
        <f t="shared" si="2"/>
        <v>Overweight</v>
      </c>
      <c r="E113">
        <v>2</v>
      </c>
      <c r="F113" t="s">
        <v>11</v>
      </c>
      <c r="G113" t="s">
        <v>9</v>
      </c>
      <c r="H113">
        <v>11881.358</v>
      </c>
    </row>
    <row r="114" spans="1:8" x14ac:dyDescent="0.3">
      <c r="A114">
        <v>37</v>
      </c>
      <c r="B114" t="s">
        <v>10</v>
      </c>
      <c r="C114">
        <v>30.8</v>
      </c>
      <c r="D114" t="str">
        <f t="shared" si="2"/>
        <v>Obese</v>
      </c>
      <c r="E114">
        <v>0</v>
      </c>
      <c r="F114" t="s">
        <v>11</v>
      </c>
      <c r="G114" t="s">
        <v>9</v>
      </c>
      <c r="H114">
        <v>4646.759</v>
      </c>
    </row>
    <row r="115" spans="1:8" x14ac:dyDescent="0.3">
      <c r="A115">
        <v>21</v>
      </c>
      <c r="B115" t="s">
        <v>7</v>
      </c>
      <c r="C115">
        <v>35.72</v>
      </c>
      <c r="D115" t="str">
        <f t="shared" si="2"/>
        <v>Obese</v>
      </c>
      <c r="E115">
        <v>0</v>
      </c>
      <c r="F115" t="s">
        <v>11</v>
      </c>
      <c r="G115" t="s">
        <v>13</v>
      </c>
      <c r="H115">
        <v>2404.7338</v>
      </c>
    </row>
    <row r="116" spans="1:8" x14ac:dyDescent="0.3">
      <c r="A116">
        <v>52</v>
      </c>
      <c r="B116" t="s">
        <v>10</v>
      </c>
      <c r="C116">
        <v>32.204999999999998</v>
      </c>
      <c r="D116" t="str">
        <f t="shared" si="2"/>
        <v>Obese</v>
      </c>
      <c r="E116">
        <v>3</v>
      </c>
      <c r="F116" t="s">
        <v>11</v>
      </c>
      <c r="G116" t="s">
        <v>14</v>
      </c>
      <c r="H116">
        <v>11488.31695</v>
      </c>
    </row>
    <row r="117" spans="1:8" x14ac:dyDescent="0.3">
      <c r="A117">
        <v>60</v>
      </c>
      <c r="B117" t="s">
        <v>10</v>
      </c>
      <c r="C117">
        <v>28.594999999999999</v>
      </c>
      <c r="D117" t="str">
        <f t="shared" si="2"/>
        <v>Overweight</v>
      </c>
      <c r="E117">
        <v>0</v>
      </c>
      <c r="F117" t="s">
        <v>11</v>
      </c>
      <c r="G117" t="s">
        <v>14</v>
      </c>
      <c r="H117">
        <v>30259.995559999999</v>
      </c>
    </row>
    <row r="118" spans="1:8" x14ac:dyDescent="0.3">
      <c r="A118">
        <v>58</v>
      </c>
      <c r="B118" t="s">
        <v>10</v>
      </c>
      <c r="C118">
        <v>49.06</v>
      </c>
      <c r="D118" t="str">
        <f t="shared" si="2"/>
        <v>Obese</v>
      </c>
      <c r="E118">
        <v>0</v>
      </c>
      <c r="F118" t="s">
        <v>11</v>
      </c>
      <c r="G118" t="s">
        <v>12</v>
      </c>
      <c r="H118">
        <v>11381.3254</v>
      </c>
    </row>
    <row r="119" spans="1:8" x14ac:dyDescent="0.3">
      <c r="A119">
        <v>29</v>
      </c>
      <c r="B119" t="s">
        <v>7</v>
      </c>
      <c r="C119">
        <v>27.94</v>
      </c>
      <c r="D119" t="str">
        <f t="shared" si="2"/>
        <v>Overweight</v>
      </c>
      <c r="E119">
        <v>1</v>
      </c>
      <c r="F119" t="s">
        <v>8</v>
      </c>
      <c r="G119" t="s">
        <v>12</v>
      </c>
      <c r="H119">
        <v>19107.779600000002</v>
      </c>
    </row>
    <row r="120" spans="1:8" x14ac:dyDescent="0.3">
      <c r="A120">
        <v>49</v>
      </c>
      <c r="B120" t="s">
        <v>7</v>
      </c>
      <c r="C120">
        <v>27.17</v>
      </c>
      <c r="D120" t="str">
        <f t="shared" si="2"/>
        <v>Overweight</v>
      </c>
      <c r="E120">
        <v>0</v>
      </c>
      <c r="F120" t="s">
        <v>11</v>
      </c>
      <c r="G120" t="s">
        <v>12</v>
      </c>
      <c r="H120">
        <v>8601.3292999999994</v>
      </c>
    </row>
    <row r="121" spans="1:8" x14ac:dyDescent="0.3">
      <c r="A121">
        <v>37</v>
      </c>
      <c r="B121" t="s">
        <v>7</v>
      </c>
      <c r="C121">
        <v>23.37</v>
      </c>
      <c r="D121" t="str">
        <f t="shared" si="2"/>
        <v>Normal</v>
      </c>
      <c r="E121">
        <v>2</v>
      </c>
      <c r="F121" t="s">
        <v>11</v>
      </c>
      <c r="G121" t="s">
        <v>13</v>
      </c>
      <c r="H121">
        <v>6686.4313000000002</v>
      </c>
    </row>
    <row r="122" spans="1:8" x14ac:dyDescent="0.3">
      <c r="A122">
        <v>44</v>
      </c>
      <c r="B122" t="s">
        <v>10</v>
      </c>
      <c r="C122">
        <v>37.1</v>
      </c>
      <c r="D122" t="str">
        <f t="shared" si="2"/>
        <v>Obese</v>
      </c>
      <c r="E122">
        <v>2</v>
      </c>
      <c r="F122" t="s">
        <v>11</v>
      </c>
      <c r="G122" t="s">
        <v>9</v>
      </c>
      <c r="H122">
        <v>7740.3370000000004</v>
      </c>
    </row>
    <row r="123" spans="1:8" x14ac:dyDescent="0.3">
      <c r="A123">
        <v>18</v>
      </c>
      <c r="B123" t="s">
        <v>10</v>
      </c>
      <c r="C123">
        <v>23.75</v>
      </c>
      <c r="D123" t="str">
        <f t="shared" si="2"/>
        <v>Normal</v>
      </c>
      <c r="E123">
        <v>0</v>
      </c>
      <c r="F123" t="s">
        <v>11</v>
      </c>
      <c r="G123" t="s">
        <v>14</v>
      </c>
      <c r="H123">
        <v>1705.6244999999999</v>
      </c>
    </row>
    <row r="124" spans="1:8" x14ac:dyDescent="0.3">
      <c r="A124">
        <v>20</v>
      </c>
      <c r="B124" t="s">
        <v>7</v>
      </c>
      <c r="C124">
        <v>28.975000000000001</v>
      </c>
      <c r="D124" t="str">
        <f t="shared" si="2"/>
        <v>Overweight</v>
      </c>
      <c r="E124">
        <v>0</v>
      </c>
      <c r="F124" t="s">
        <v>11</v>
      </c>
      <c r="G124" t="s">
        <v>13</v>
      </c>
      <c r="H124">
        <v>2257.47525</v>
      </c>
    </row>
    <row r="125" spans="1:8" x14ac:dyDescent="0.3">
      <c r="A125">
        <v>44</v>
      </c>
      <c r="B125" t="s">
        <v>10</v>
      </c>
      <c r="C125">
        <v>31.35</v>
      </c>
      <c r="D125" t="str">
        <f t="shared" si="2"/>
        <v>Obese</v>
      </c>
      <c r="E125">
        <v>1</v>
      </c>
      <c r="F125" t="s">
        <v>8</v>
      </c>
      <c r="G125" t="s">
        <v>14</v>
      </c>
      <c r="H125">
        <v>39556.494500000001</v>
      </c>
    </row>
    <row r="126" spans="1:8" x14ac:dyDescent="0.3">
      <c r="A126">
        <v>47</v>
      </c>
      <c r="B126" t="s">
        <v>7</v>
      </c>
      <c r="C126">
        <v>33.914999999999999</v>
      </c>
      <c r="D126" t="str">
        <f t="shared" si="2"/>
        <v>Obese</v>
      </c>
      <c r="E126">
        <v>3</v>
      </c>
      <c r="F126" t="s">
        <v>11</v>
      </c>
      <c r="G126" t="s">
        <v>13</v>
      </c>
      <c r="H126">
        <v>10115.00885</v>
      </c>
    </row>
    <row r="127" spans="1:8" x14ac:dyDescent="0.3">
      <c r="A127">
        <v>26</v>
      </c>
      <c r="B127" t="s">
        <v>7</v>
      </c>
      <c r="C127">
        <v>28.785</v>
      </c>
      <c r="D127" t="str">
        <f t="shared" si="2"/>
        <v>Overweight</v>
      </c>
      <c r="E127">
        <v>0</v>
      </c>
      <c r="F127" t="s">
        <v>11</v>
      </c>
      <c r="G127" t="s">
        <v>14</v>
      </c>
      <c r="H127">
        <v>3385.3991500000002</v>
      </c>
    </row>
    <row r="128" spans="1:8" x14ac:dyDescent="0.3">
      <c r="A128">
        <v>19</v>
      </c>
      <c r="B128" t="s">
        <v>7</v>
      </c>
      <c r="C128">
        <v>28.3</v>
      </c>
      <c r="D128" t="str">
        <f t="shared" si="2"/>
        <v>Overweight</v>
      </c>
      <c r="E128">
        <v>0</v>
      </c>
      <c r="F128" t="s">
        <v>8</v>
      </c>
      <c r="G128" t="s">
        <v>9</v>
      </c>
      <c r="H128">
        <v>17081.080000000002</v>
      </c>
    </row>
    <row r="129" spans="1:8" x14ac:dyDescent="0.3">
      <c r="A129">
        <v>52</v>
      </c>
      <c r="B129" t="s">
        <v>7</v>
      </c>
      <c r="C129">
        <v>37.4</v>
      </c>
      <c r="D129" t="str">
        <f t="shared" si="2"/>
        <v>Obese</v>
      </c>
      <c r="E129">
        <v>0</v>
      </c>
      <c r="F129" t="s">
        <v>11</v>
      </c>
      <c r="G129" t="s">
        <v>9</v>
      </c>
      <c r="H129">
        <v>9634.5380000000005</v>
      </c>
    </row>
    <row r="130" spans="1:8" x14ac:dyDescent="0.3">
      <c r="A130">
        <v>32</v>
      </c>
      <c r="B130" t="s">
        <v>7</v>
      </c>
      <c r="C130">
        <v>17.765000000000001</v>
      </c>
      <c r="D130" t="str">
        <f t="shared" si="2"/>
        <v>Underweight</v>
      </c>
      <c r="E130">
        <v>2</v>
      </c>
      <c r="F130" t="s">
        <v>8</v>
      </c>
      <c r="G130" t="s">
        <v>13</v>
      </c>
      <c r="H130">
        <v>32734.186300000001</v>
      </c>
    </row>
    <row r="131" spans="1:8" x14ac:dyDescent="0.3">
      <c r="A131">
        <v>38</v>
      </c>
      <c r="B131" t="s">
        <v>10</v>
      </c>
      <c r="C131">
        <v>34.700000000000003</v>
      </c>
      <c r="D131" t="str">
        <f t="shared" si="2"/>
        <v>Obese</v>
      </c>
      <c r="E131">
        <v>2</v>
      </c>
      <c r="F131" t="s">
        <v>11</v>
      </c>
      <c r="G131" t="s">
        <v>9</v>
      </c>
      <c r="H131">
        <v>6082.4049999999997</v>
      </c>
    </row>
    <row r="132" spans="1:8" x14ac:dyDescent="0.3">
      <c r="A132">
        <v>59</v>
      </c>
      <c r="B132" t="s">
        <v>7</v>
      </c>
      <c r="C132">
        <v>26.504999999999999</v>
      </c>
      <c r="D132" t="str">
        <f t="shared" si="2"/>
        <v>Overweight</v>
      </c>
      <c r="E132">
        <v>0</v>
      </c>
      <c r="F132" t="s">
        <v>11</v>
      </c>
      <c r="G132" t="s">
        <v>14</v>
      </c>
      <c r="H132">
        <v>12815.444949999999</v>
      </c>
    </row>
    <row r="133" spans="1:8" x14ac:dyDescent="0.3">
      <c r="A133">
        <v>61</v>
      </c>
      <c r="B133" t="s">
        <v>7</v>
      </c>
      <c r="C133">
        <v>22.04</v>
      </c>
      <c r="D133" t="str">
        <f t="shared" si="2"/>
        <v>Normal</v>
      </c>
      <c r="E133">
        <v>0</v>
      </c>
      <c r="F133" t="s">
        <v>11</v>
      </c>
      <c r="G133" t="s">
        <v>14</v>
      </c>
      <c r="H133">
        <v>13616.3586</v>
      </c>
    </row>
    <row r="134" spans="1:8" x14ac:dyDescent="0.3">
      <c r="A134">
        <v>53</v>
      </c>
      <c r="B134" t="s">
        <v>7</v>
      </c>
      <c r="C134">
        <v>35.9</v>
      </c>
      <c r="D134" t="str">
        <f t="shared" si="2"/>
        <v>Obese</v>
      </c>
      <c r="E134">
        <v>2</v>
      </c>
      <c r="F134" t="s">
        <v>11</v>
      </c>
      <c r="G134" t="s">
        <v>9</v>
      </c>
      <c r="H134">
        <v>11163.567999999999</v>
      </c>
    </row>
    <row r="135" spans="1:8" x14ac:dyDescent="0.3">
      <c r="A135">
        <v>19</v>
      </c>
      <c r="B135" t="s">
        <v>10</v>
      </c>
      <c r="C135">
        <v>25.555</v>
      </c>
      <c r="D135" t="str">
        <f t="shared" si="2"/>
        <v>Overweight</v>
      </c>
      <c r="E135">
        <v>0</v>
      </c>
      <c r="F135" t="s">
        <v>11</v>
      </c>
      <c r="G135" t="s">
        <v>13</v>
      </c>
      <c r="H135">
        <v>1632.5644500000001</v>
      </c>
    </row>
    <row r="136" spans="1:8" x14ac:dyDescent="0.3">
      <c r="A136">
        <v>20</v>
      </c>
      <c r="B136" t="s">
        <v>7</v>
      </c>
      <c r="C136">
        <v>28.785</v>
      </c>
      <c r="D136" t="str">
        <f t="shared" si="2"/>
        <v>Overweight</v>
      </c>
      <c r="E136">
        <v>0</v>
      </c>
      <c r="F136" t="s">
        <v>11</v>
      </c>
      <c r="G136" t="s">
        <v>14</v>
      </c>
      <c r="H136">
        <v>2457.2111500000001</v>
      </c>
    </row>
    <row r="137" spans="1:8" x14ac:dyDescent="0.3">
      <c r="A137">
        <v>22</v>
      </c>
      <c r="B137" t="s">
        <v>7</v>
      </c>
      <c r="C137">
        <v>28.05</v>
      </c>
      <c r="D137" t="str">
        <f t="shared" si="2"/>
        <v>Overweight</v>
      </c>
      <c r="E137">
        <v>0</v>
      </c>
      <c r="F137" t="s">
        <v>11</v>
      </c>
      <c r="G137" t="s">
        <v>12</v>
      </c>
      <c r="H137">
        <v>2155.6815000000001</v>
      </c>
    </row>
    <row r="138" spans="1:8" x14ac:dyDescent="0.3">
      <c r="A138">
        <v>19</v>
      </c>
      <c r="B138" t="s">
        <v>10</v>
      </c>
      <c r="C138">
        <v>34.1</v>
      </c>
      <c r="D138" t="str">
        <f t="shared" si="2"/>
        <v>Obese</v>
      </c>
      <c r="E138">
        <v>0</v>
      </c>
      <c r="F138" t="s">
        <v>11</v>
      </c>
      <c r="G138" t="s">
        <v>9</v>
      </c>
      <c r="H138">
        <v>1261.442</v>
      </c>
    </row>
    <row r="139" spans="1:8" x14ac:dyDescent="0.3">
      <c r="A139">
        <v>22</v>
      </c>
      <c r="B139" t="s">
        <v>10</v>
      </c>
      <c r="C139">
        <v>25.175000000000001</v>
      </c>
      <c r="D139" t="str">
        <f t="shared" si="2"/>
        <v>Overweight</v>
      </c>
      <c r="E139">
        <v>0</v>
      </c>
      <c r="F139" t="s">
        <v>11</v>
      </c>
      <c r="G139" t="s">
        <v>13</v>
      </c>
      <c r="H139">
        <v>2045.68525</v>
      </c>
    </row>
    <row r="140" spans="1:8" x14ac:dyDescent="0.3">
      <c r="A140">
        <v>54</v>
      </c>
      <c r="B140" t="s">
        <v>7</v>
      </c>
      <c r="C140">
        <v>31.9</v>
      </c>
      <c r="D140" t="str">
        <f t="shared" si="2"/>
        <v>Obese</v>
      </c>
      <c r="E140">
        <v>3</v>
      </c>
      <c r="F140" t="s">
        <v>11</v>
      </c>
      <c r="G140" t="s">
        <v>12</v>
      </c>
      <c r="H140">
        <v>27322.73386</v>
      </c>
    </row>
    <row r="141" spans="1:8" x14ac:dyDescent="0.3">
      <c r="A141">
        <v>22</v>
      </c>
      <c r="B141" t="s">
        <v>7</v>
      </c>
      <c r="C141">
        <v>36</v>
      </c>
      <c r="D141" t="str">
        <f t="shared" si="2"/>
        <v>Obese</v>
      </c>
      <c r="E141">
        <v>0</v>
      </c>
      <c r="F141" t="s">
        <v>11</v>
      </c>
      <c r="G141" t="s">
        <v>9</v>
      </c>
      <c r="H141">
        <v>2166.732</v>
      </c>
    </row>
    <row r="142" spans="1:8" x14ac:dyDescent="0.3">
      <c r="A142">
        <v>34</v>
      </c>
      <c r="B142" t="s">
        <v>10</v>
      </c>
      <c r="C142">
        <v>22.42</v>
      </c>
      <c r="D142" t="str">
        <f t="shared" si="2"/>
        <v>Normal</v>
      </c>
      <c r="E142">
        <v>2</v>
      </c>
      <c r="F142" t="s">
        <v>11</v>
      </c>
      <c r="G142" t="s">
        <v>14</v>
      </c>
      <c r="H142">
        <v>27375.904780000001</v>
      </c>
    </row>
    <row r="143" spans="1:8" x14ac:dyDescent="0.3">
      <c r="A143">
        <v>26</v>
      </c>
      <c r="B143" t="s">
        <v>10</v>
      </c>
      <c r="C143">
        <v>32.49</v>
      </c>
      <c r="D143" t="str">
        <f t="shared" si="2"/>
        <v>Obese</v>
      </c>
      <c r="E143">
        <v>1</v>
      </c>
      <c r="F143" t="s">
        <v>11</v>
      </c>
      <c r="G143" t="s">
        <v>14</v>
      </c>
      <c r="H143">
        <v>3490.5491000000002</v>
      </c>
    </row>
    <row r="144" spans="1:8" x14ac:dyDescent="0.3">
      <c r="A144">
        <v>34</v>
      </c>
      <c r="B144" t="s">
        <v>10</v>
      </c>
      <c r="C144">
        <v>25.3</v>
      </c>
      <c r="D144" t="str">
        <f t="shared" si="2"/>
        <v>Overweight</v>
      </c>
      <c r="E144">
        <v>2</v>
      </c>
      <c r="F144" t="s">
        <v>8</v>
      </c>
      <c r="G144" t="s">
        <v>12</v>
      </c>
      <c r="H144">
        <v>18972.494999999999</v>
      </c>
    </row>
    <row r="145" spans="1:8" x14ac:dyDescent="0.3">
      <c r="A145">
        <v>29</v>
      </c>
      <c r="B145" t="s">
        <v>10</v>
      </c>
      <c r="C145">
        <v>29.734999999999999</v>
      </c>
      <c r="D145" t="str">
        <f t="shared" si="2"/>
        <v>Overweight</v>
      </c>
      <c r="E145">
        <v>2</v>
      </c>
      <c r="F145" t="s">
        <v>11</v>
      </c>
      <c r="G145" t="s">
        <v>13</v>
      </c>
      <c r="H145">
        <v>18157.876</v>
      </c>
    </row>
    <row r="146" spans="1:8" x14ac:dyDescent="0.3">
      <c r="A146">
        <v>30</v>
      </c>
      <c r="B146" t="s">
        <v>10</v>
      </c>
      <c r="C146">
        <v>28.69</v>
      </c>
      <c r="D146" t="str">
        <f t="shared" si="2"/>
        <v>Overweight</v>
      </c>
      <c r="E146">
        <v>3</v>
      </c>
      <c r="F146" t="s">
        <v>8</v>
      </c>
      <c r="G146" t="s">
        <v>13</v>
      </c>
      <c r="H146">
        <v>20745.989099999999</v>
      </c>
    </row>
    <row r="147" spans="1:8" x14ac:dyDescent="0.3">
      <c r="A147">
        <v>29</v>
      </c>
      <c r="B147" t="s">
        <v>7</v>
      </c>
      <c r="C147">
        <v>38.83</v>
      </c>
      <c r="D147" t="str">
        <f t="shared" si="2"/>
        <v>Obese</v>
      </c>
      <c r="E147">
        <v>3</v>
      </c>
      <c r="F147" t="s">
        <v>11</v>
      </c>
      <c r="G147" t="s">
        <v>12</v>
      </c>
      <c r="H147">
        <v>5138.2566999999999</v>
      </c>
    </row>
    <row r="148" spans="1:8" x14ac:dyDescent="0.3">
      <c r="A148">
        <v>46</v>
      </c>
      <c r="B148" t="s">
        <v>10</v>
      </c>
      <c r="C148">
        <v>30.495000000000001</v>
      </c>
      <c r="D148" t="str">
        <f t="shared" si="2"/>
        <v>Obese</v>
      </c>
      <c r="E148">
        <v>3</v>
      </c>
      <c r="F148" t="s">
        <v>8</v>
      </c>
      <c r="G148" t="s">
        <v>13</v>
      </c>
      <c r="H148">
        <v>40720.551050000002</v>
      </c>
    </row>
    <row r="149" spans="1:8" x14ac:dyDescent="0.3">
      <c r="A149">
        <v>51</v>
      </c>
      <c r="B149" t="s">
        <v>7</v>
      </c>
      <c r="C149">
        <v>37.729999999999997</v>
      </c>
      <c r="D149" t="str">
        <f t="shared" ref="D149:D212" si="3">IF(C149&lt;18.5,"Underweight",IF(C149&lt;24.9,"Normal",IF(C149&lt;30,"Overweight","Obese")))</f>
        <v>Obese</v>
      </c>
      <c r="E149">
        <v>1</v>
      </c>
      <c r="F149" t="s">
        <v>11</v>
      </c>
      <c r="G149" t="s">
        <v>12</v>
      </c>
      <c r="H149">
        <v>9877.6077000000005</v>
      </c>
    </row>
    <row r="150" spans="1:8" x14ac:dyDescent="0.3">
      <c r="A150">
        <v>53</v>
      </c>
      <c r="B150" t="s">
        <v>7</v>
      </c>
      <c r="C150">
        <v>37.43</v>
      </c>
      <c r="D150" t="str">
        <f t="shared" si="3"/>
        <v>Obese</v>
      </c>
      <c r="E150">
        <v>1</v>
      </c>
      <c r="F150" t="s">
        <v>11</v>
      </c>
      <c r="G150" t="s">
        <v>13</v>
      </c>
      <c r="H150">
        <v>10959.6947</v>
      </c>
    </row>
    <row r="151" spans="1:8" x14ac:dyDescent="0.3">
      <c r="A151">
        <v>19</v>
      </c>
      <c r="B151" t="s">
        <v>10</v>
      </c>
      <c r="C151">
        <v>28.4</v>
      </c>
      <c r="D151" t="str">
        <f t="shared" si="3"/>
        <v>Overweight</v>
      </c>
      <c r="E151">
        <v>1</v>
      </c>
      <c r="F151" t="s">
        <v>11</v>
      </c>
      <c r="G151" t="s">
        <v>9</v>
      </c>
      <c r="H151">
        <v>1842.519</v>
      </c>
    </row>
    <row r="152" spans="1:8" x14ac:dyDescent="0.3">
      <c r="A152">
        <v>35</v>
      </c>
      <c r="B152" t="s">
        <v>10</v>
      </c>
      <c r="C152">
        <v>24.13</v>
      </c>
      <c r="D152" t="str">
        <f t="shared" si="3"/>
        <v>Normal</v>
      </c>
      <c r="E152">
        <v>1</v>
      </c>
      <c r="F152" t="s">
        <v>11</v>
      </c>
      <c r="G152" t="s">
        <v>13</v>
      </c>
      <c r="H152">
        <v>5125.2156999999997</v>
      </c>
    </row>
    <row r="153" spans="1:8" x14ac:dyDescent="0.3">
      <c r="A153">
        <v>48</v>
      </c>
      <c r="B153" t="s">
        <v>10</v>
      </c>
      <c r="C153">
        <v>29.7</v>
      </c>
      <c r="D153" t="str">
        <f t="shared" si="3"/>
        <v>Overweight</v>
      </c>
      <c r="E153">
        <v>0</v>
      </c>
      <c r="F153" t="s">
        <v>11</v>
      </c>
      <c r="G153" t="s">
        <v>12</v>
      </c>
      <c r="H153">
        <v>7789.6350000000002</v>
      </c>
    </row>
    <row r="154" spans="1:8" x14ac:dyDescent="0.3">
      <c r="A154">
        <v>32</v>
      </c>
      <c r="B154" t="s">
        <v>7</v>
      </c>
      <c r="C154">
        <v>37.145000000000003</v>
      </c>
      <c r="D154" t="str">
        <f t="shared" si="3"/>
        <v>Obese</v>
      </c>
      <c r="E154">
        <v>3</v>
      </c>
      <c r="F154" t="s">
        <v>11</v>
      </c>
      <c r="G154" t="s">
        <v>14</v>
      </c>
      <c r="H154">
        <v>6334.3435499999996</v>
      </c>
    </row>
    <row r="155" spans="1:8" x14ac:dyDescent="0.3">
      <c r="A155">
        <v>42</v>
      </c>
      <c r="B155" t="s">
        <v>7</v>
      </c>
      <c r="C155">
        <v>23.37</v>
      </c>
      <c r="D155" t="str">
        <f t="shared" si="3"/>
        <v>Normal</v>
      </c>
      <c r="E155">
        <v>0</v>
      </c>
      <c r="F155" t="s">
        <v>8</v>
      </c>
      <c r="G155" t="s">
        <v>14</v>
      </c>
      <c r="H155">
        <v>19964.746299999999</v>
      </c>
    </row>
    <row r="156" spans="1:8" x14ac:dyDescent="0.3">
      <c r="A156">
        <v>40</v>
      </c>
      <c r="B156" t="s">
        <v>7</v>
      </c>
      <c r="C156">
        <v>25.46</v>
      </c>
      <c r="D156" t="str">
        <f t="shared" si="3"/>
        <v>Overweight</v>
      </c>
      <c r="E156">
        <v>1</v>
      </c>
      <c r="F156" t="s">
        <v>11</v>
      </c>
      <c r="G156" t="s">
        <v>14</v>
      </c>
      <c r="H156">
        <v>7077.1894000000002</v>
      </c>
    </row>
    <row r="157" spans="1:8" x14ac:dyDescent="0.3">
      <c r="A157">
        <v>44</v>
      </c>
      <c r="B157" t="s">
        <v>10</v>
      </c>
      <c r="C157">
        <v>39.520000000000003</v>
      </c>
      <c r="D157" t="str">
        <f t="shared" si="3"/>
        <v>Obese</v>
      </c>
      <c r="E157">
        <v>0</v>
      </c>
      <c r="F157" t="s">
        <v>11</v>
      </c>
      <c r="G157" t="s">
        <v>13</v>
      </c>
      <c r="H157">
        <v>6948.7007999999996</v>
      </c>
    </row>
    <row r="158" spans="1:8" x14ac:dyDescent="0.3">
      <c r="A158">
        <v>48</v>
      </c>
      <c r="B158" t="s">
        <v>10</v>
      </c>
      <c r="C158">
        <v>24.42</v>
      </c>
      <c r="D158" t="str">
        <f t="shared" si="3"/>
        <v>Normal</v>
      </c>
      <c r="E158">
        <v>0</v>
      </c>
      <c r="F158" t="s">
        <v>8</v>
      </c>
      <c r="G158" t="s">
        <v>12</v>
      </c>
      <c r="H158">
        <v>21223.675800000001</v>
      </c>
    </row>
    <row r="159" spans="1:8" x14ac:dyDescent="0.3">
      <c r="A159">
        <v>18</v>
      </c>
      <c r="B159" t="s">
        <v>10</v>
      </c>
      <c r="C159">
        <v>25.175000000000001</v>
      </c>
      <c r="D159" t="str">
        <f t="shared" si="3"/>
        <v>Overweight</v>
      </c>
      <c r="E159">
        <v>0</v>
      </c>
      <c r="F159" t="s">
        <v>8</v>
      </c>
      <c r="G159" t="s">
        <v>14</v>
      </c>
      <c r="H159">
        <v>15518.180249999999</v>
      </c>
    </row>
    <row r="160" spans="1:8" x14ac:dyDescent="0.3">
      <c r="A160">
        <v>30</v>
      </c>
      <c r="B160" t="s">
        <v>10</v>
      </c>
      <c r="C160">
        <v>35.53</v>
      </c>
      <c r="D160" t="str">
        <f t="shared" si="3"/>
        <v>Obese</v>
      </c>
      <c r="E160">
        <v>0</v>
      </c>
      <c r="F160" t="s">
        <v>8</v>
      </c>
      <c r="G160" t="s">
        <v>12</v>
      </c>
      <c r="H160">
        <v>36950.256699999998</v>
      </c>
    </row>
    <row r="161" spans="1:8" x14ac:dyDescent="0.3">
      <c r="A161">
        <v>50</v>
      </c>
      <c r="B161" t="s">
        <v>7</v>
      </c>
      <c r="C161">
        <v>27.83</v>
      </c>
      <c r="D161" t="str">
        <f t="shared" si="3"/>
        <v>Overweight</v>
      </c>
      <c r="E161">
        <v>3</v>
      </c>
      <c r="F161" t="s">
        <v>11</v>
      </c>
      <c r="G161" t="s">
        <v>12</v>
      </c>
      <c r="H161">
        <v>19749.383379999999</v>
      </c>
    </row>
    <row r="162" spans="1:8" x14ac:dyDescent="0.3">
      <c r="A162">
        <v>42</v>
      </c>
      <c r="B162" t="s">
        <v>7</v>
      </c>
      <c r="C162">
        <v>26.6</v>
      </c>
      <c r="D162" t="str">
        <f t="shared" si="3"/>
        <v>Overweight</v>
      </c>
      <c r="E162">
        <v>0</v>
      </c>
      <c r="F162" t="s">
        <v>8</v>
      </c>
      <c r="G162" t="s">
        <v>13</v>
      </c>
      <c r="H162">
        <v>21348.705999999998</v>
      </c>
    </row>
    <row r="163" spans="1:8" x14ac:dyDescent="0.3">
      <c r="A163">
        <v>18</v>
      </c>
      <c r="B163" t="s">
        <v>7</v>
      </c>
      <c r="C163">
        <v>36.85</v>
      </c>
      <c r="D163" t="str">
        <f t="shared" si="3"/>
        <v>Obese</v>
      </c>
      <c r="E163">
        <v>0</v>
      </c>
      <c r="F163" t="s">
        <v>8</v>
      </c>
      <c r="G163" t="s">
        <v>12</v>
      </c>
      <c r="H163">
        <v>36149.483500000002</v>
      </c>
    </row>
    <row r="164" spans="1:8" x14ac:dyDescent="0.3">
      <c r="A164">
        <v>54</v>
      </c>
      <c r="B164" t="s">
        <v>10</v>
      </c>
      <c r="C164">
        <v>39.6</v>
      </c>
      <c r="D164" t="str">
        <f t="shared" si="3"/>
        <v>Obese</v>
      </c>
      <c r="E164">
        <v>1</v>
      </c>
      <c r="F164" t="s">
        <v>11</v>
      </c>
      <c r="G164" t="s">
        <v>9</v>
      </c>
      <c r="H164">
        <v>10450.552</v>
      </c>
    </row>
    <row r="165" spans="1:8" x14ac:dyDescent="0.3">
      <c r="A165">
        <v>32</v>
      </c>
      <c r="B165" t="s">
        <v>7</v>
      </c>
      <c r="C165">
        <v>29.8</v>
      </c>
      <c r="D165" t="str">
        <f t="shared" si="3"/>
        <v>Overweight</v>
      </c>
      <c r="E165">
        <v>2</v>
      </c>
      <c r="F165" t="s">
        <v>11</v>
      </c>
      <c r="G165" t="s">
        <v>9</v>
      </c>
      <c r="H165">
        <v>5152.134</v>
      </c>
    </row>
    <row r="166" spans="1:8" x14ac:dyDescent="0.3">
      <c r="A166">
        <v>37</v>
      </c>
      <c r="B166" t="s">
        <v>10</v>
      </c>
      <c r="C166">
        <v>29.64</v>
      </c>
      <c r="D166" t="str">
        <f t="shared" si="3"/>
        <v>Overweight</v>
      </c>
      <c r="E166">
        <v>0</v>
      </c>
      <c r="F166" t="s">
        <v>11</v>
      </c>
      <c r="G166" t="s">
        <v>13</v>
      </c>
      <c r="H166">
        <v>5028.1466</v>
      </c>
    </row>
    <row r="167" spans="1:8" x14ac:dyDescent="0.3">
      <c r="A167">
        <v>47</v>
      </c>
      <c r="B167" t="s">
        <v>10</v>
      </c>
      <c r="C167">
        <v>28.215</v>
      </c>
      <c r="D167" t="str">
        <f t="shared" si="3"/>
        <v>Overweight</v>
      </c>
      <c r="E167">
        <v>4</v>
      </c>
      <c r="F167" t="s">
        <v>11</v>
      </c>
      <c r="G167" t="s">
        <v>14</v>
      </c>
      <c r="H167">
        <v>10407.085849999999</v>
      </c>
    </row>
    <row r="168" spans="1:8" x14ac:dyDescent="0.3">
      <c r="A168">
        <v>20</v>
      </c>
      <c r="B168" t="s">
        <v>7</v>
      </c>
      <c r="C168">
        <v>37</v>
      </c>
      <c r="D168" t="str">
        <f t="shared" si="3"/>
        <v>Obese</v>
      </c>
      <c r="E168">
        <v>5</v>
      </c>
      <c r="F168" t="s">
        <v>11</v>
      </c>
      <c r="G168" t="s">
        <v>9</v>
      </c>
      <c r="H168">
        <v>4830.63</v>
      </c>
    </row>
    <row r="169" spans="1:8" x14ac:dyDescent="0.3">
      <c r="A169">
        <v>32</v>
      </c>
      <c r="B169" t="s">
        <v>7</v>
      </c>
      <c r="C169">
        <v>33.155000000000001</v>
      </c>
      <c r="D169" t="str">
        <f t="shared" si="3"/>
        <v>Obese</v>
      </c>
      <c r="E169">
        <v>3</v>
      </c>
      <c r="F169" t="s">
        <v>11</v>
      </c>
      <c r="G169" t="s">
        <v>13</v>
      </c>
      <c r="H169">
        <v>6128.79745</v>
      </c>
    </row>
    <row r="170" spans="1:8" x14ac:dyDescent="0.3">
      <c r="A170">
        <v>19</v>
      </c>
      <c r="B170" t="s">
        <v>7</v>
      </c>
      <c r="C170">
        <v>31.824999999999999</v>
      </c>
      <c r="D170" t="str">
        <f t="shared" si="3"/>
        <v>Obese</v>
      </c>
      <c r="E170">
        <v>1</v>
      </c>
      <c r="F170" t="s">
        <v>11</v>
      </c>
      <c r="G170" t="s">
        <v>13</v>
      </c>
      <c r="H170">
        <v>2719.2797500000001</v>
      </c>
    </row>
    <row r="171" spans="1:8" x14ac:dyDescent="0.3">
      <c r="A171">
        <v>27</v>
      </c>
      <c r="B171" t="s">
        <v>10</v>
      </c>
      <c r="C171">
        <v>18.905000000000001</v>
      </c>
      <c r="D171" t="str">
        <f t="shared" si="3"/>
        <v>Normal</v>
      </c>
      <c r="E171">
        <v>3</v>
      </c>
      <c r="F171" t="s">
        <v>11</v>
      </c>
      <c r="G171" t="s">
        <v>14</v>
      </c>
      <c r="H171">
        <v>4827.9049500000001</v>
      </c>
    </row>
    <row r="172" spans="1:8" x14ac:dyDescent="0.3">
      <c r="A172">
        <v>63</v>
      </c>
      <c r="B172" t="s">
        <v>10</v>
      </c>
      <c r="C172">
        <v>41.47</v>
      </c>
      <c r="D172" t="str">
        <f t="shared" si="3"/>
        <v>Obese</v>
      </c>
      <c r="E172">
        <v>0</v>
      </c>
      <c r="F172" t="s">
        <v>11</v>
      </c>
      <c r="G172" t="s">
        <v>12</v>
      </c>
      <c r="H172">
        <v>13405.390299999999</v>
      </c>
    </row>
    <row r="173" spans="1:8" x14ac:dyDescent="0.3">
      <c r="A173">
        <v>49</v>
      </c>
      <c r="B173" t="s">
        <v>10</v>
      </c>
      <c r="C173">
        <v>30.3</v>
      </c>
      <c r="D173" t="str">
        <f t="shared" si="3"/>
        <v>Obese</v>
      </c>
      <c r="E173">
        <v>0</v>
      </c>
      <c r="F173" t="s">
        <v>11</v>
      </c>
      <c r="G173" t="s">
        <v>9</v>
      </c>
      <c r="H173">
        <v>8116.68</v>
      </c>
    </row>
    <row r="174" spans="1:8" x14ac:dyDescent="0.3">
      <c r="A174">
        <v>18</v>
      </c>
      <c r="B174" t="s">
        <v>10</v>
      </c>
      <c r="C174">
        <v>15.96</v>
      </c>
      <c r="D174" t="str">
        <f t="shared" si="3"/>
        <v>Underweight</v>
      </c>
      <c r="E174">
        <v>0</v>
      </c>
      <c r="F174" t="s">
        <v>11</v>
      </c>
      <c r="G174" t="s">
        <v>14</v>
      </c>
      <c r="H174">
        <v>1694.7963999999999</v>
      </c>
    </row>
    <row r="175" spans="1:8" x14ac:dyDescent="0.3">
      <c r="A175">
        <v>35</v>
      </c>
      <c r="B175" t="s">
        <v>7</v>
      </c>
      <c r="C175">
        <v>34.799999999999997</v>
      </c>
      <c r="D175" t="str">
        <f t="shared" si="3"/>
        <v>Obese</v>
      </c>
      <c r="E175">
        <v>1</v>
      </c>
      <c r="F175" t="s">
        <v>11</v>
      </c>
      <c r="G175" t="s">
        <v>9</v>
      </c>
      <c r="H175">
        <v>5246.0469999999996</v>
      </c>
    </row>
    <row r="176" spans="1:8" x14ac:dyDescent="0.3">
      <c r="A176">
        <v>24</v>
      </c>
      <c r="B176" t="s">
        <v>7</v>
      </c>
      <c r="C176">
        <v>33.344999999999999</v>
      </c>
      <c r="D176" t="str">
        <f t="shared" si="3"/>
        <v>Obese</v>
      </c>
      <c r="E176">
        <v>0</v>
      </c>
      <c r="F176" t="s">
        <v>11</v>
      </c>
      <c r="G176" t="s">
        <v>13</v>
      </c>
      <c r="H176">
        <v>2855.4375500000001</v>
      </c>
    </row>
    <row r="177" spans="1:8" x14ac:dyDescent="0.3">
      <c r="A177">
        <v>63</v>
      </c>
      <c r="B177" t="s">
        <v>7</v>
      </c>
      <c r="C177">
        <v>37.700000000000003</v>
      </c>
      <c r="D177" t="str">
        <f t="shared" si="3"/>
        <v>Obese</v>
      </c>
      <c r="E177">
        <v>0</v>
      </c>
      <c r="F177" t="s">
        <v>8</v>
      </c>
      <c r="G177" t="s">
        <v>9</v>
      </c>
      <c r="H177">
        <v>48824.45</v>
      </c>
    </row>
    <row r="178" spans="1:8" x14ac:dyDescent="0.3">
      <c r="A178">
        <v>38</v>
      </c>
      <c r="B178" t="s">
        <v>10</v>
      </c>
      <c r="C178">
        <v>27.835000000000001</v>
      </c>
      <c r="D178" t="str">
        <f t="shared" si="3"/>
        <v>Overweight</v>
      </c>
      <c r="E178">
        <v>2</v>
      </c>
      <c r="F178" t="s">
        <v>11</v>
      </c>
      <c r="G178" t="s">
        <v>13</v>
      </c>
      <c r="H178">
        <v>6455.86265</v>
      </c>
    </row>
    <row r="179" spans="1:8" x14ac:dyDescent="0.3">
      <c r="A179">
        <v>54</v>
      </c>
      <c r="B179" t="s">
        <v>10</v>
      </c>
      <c r="C179">
        <v>29.2</v>
      </c>
      <c r="D179" t="str">
        <f t="shared" si="3"/>
        <v>Overweight</v>
      </c>
      <c r="E179">
        <v>1</v>
      </c>
      <c r="F179" t="s">
        <v>11</v>
      </c>
      <c r="G179" t="s">
        <v>9</v>
      </c>
      <c r="H179">
        <v>10436.096</v>
      </c>
    </row>
    <row r="180" spans="1:8" x14ac:dyDescent="0.3">
      <c r="A180">
        <v>46</v>
      </c>
      <c r="B180" t="s">
        <v>7</v>
      </c>
      <c r="C180">
        <v>28.9</v>
      </c>
      <c r="D180" t="str">
        <f t="shared" si="3"/>
        <v>Overweight</v>
      </c>
      <c r="E180">
        <v>2</v>
      </c>
      <c r="F180" t="s">
        <v>11</v>
      </c>
      <c r="G180" t="s">
        <v>9</v>
      </c>
      <c r="H180">
        <v>8823.2790000000005</v>
      </c>
    </row>
    <row r="181" spans="1:8" x14ac:dyDescent="0.3">
      <c r="A181">
        <v>41</v>
      </c>
      <c r="B181" t="s">
        <v>7</v>
      </c>
      <c r="C181">
        <v>33.155000000000001</v>
      </c>
      <c r="D181" t="str">
        <f t="shared" si="3"/>
        <v>Obese</v>
      </c>
      <c r="E181">
        <v>3</v>
      </c>
      <c r="F181" t="s">
        <v>11</v>
      </c>
      <c r="G181" t="s">
        <v>14</v>
      </c>
      <c r="H181">
        <v>8538.28845</v>
      </c>
    </row>
    <row r="182" spans="1:8" x14ac:dyDescent="0.3">
      <c r="A182">
        <v>58</v>
      </c>
      <c r="B182" t="s">
        <v>10</v>
      </c>
      <c r="C182">
        <v>28.594999999999999</v>
      </c>
      <c r="D182" t="str">
        <f t="shared" si="3"/>
        <v>Overweight</v>
      </c>
      <c r="E182">
        <v>0</v>
      </c>
      <c r="F182" t="s">
        <v>11</v>
      </c>
      <c r="G182" t="s">
        <v>13</v>
      </c>
      <c r="H182">
        <v>11735.87905</v>
      </c>
    </row>
    <row r="183" spans="1:8" x14ac:dyDescent="0.3">
      <c r="A183">
        <v>18</v>
      </c>
      <c r="B183" t="s">
        <v>7</v>
      </c>
      <c r="C183">
        <v>38.28</v>
      </c>
      <c r="D183" t="str">
        <f t="shared" si="3"/>
        <v>Obese</v>
      </c>
      <c r="E183">
        <v>0</v>
      </c>
      <c r="F183" t="s">
        <v>11</v>
      </c>
      <c r="G183" t="s">
        <v>12</v>
      </c>
      <c r="H183">
        <v>1631.8212000000001</v>
      </c>
    </row>
    <row r="184" spans="1:8" x14ac:dyDescent="0.3">
      <c r="A184">
        <v>22</v>
      </c>
      <c r="B184" t="s">
        <v>10</v>
      </c>
      <c r="C184">
        <v>19.95</v>
      </c>
      <c r="D184" t="str">
        <f t="shared" si="3"/>
        <v>Normal</v>
      </c>
      <c r="E184">
        <v>3</v>
      </c>
      <c r="F184" t="s">
        <v>11</v>
      </c>
      <c r="G184" t="s">
        <v>14</v>
      </c>
      <c r="H184">
        <v>4005.4225000000001</v>
      </c>
    </row>
    <row r="185" spans="1:8" x14ac:dyDescent="0.3">
      <c r="A185">
        <v>44</v>
      </c>
      <c r="B185" t="s">
        <v>7</v>
      </c>
      <c r="C185">
        <v>26.41</v>
      </c>
      <c r="D185" t="str">
        <f t="shared" si="3"/>
        <v>Overweight</v>
      </c>
      <c r="E185">
        <v>0</v>
      </c>
      <c r="F185" t="s">
        <v>11</v>
      </c>
      <c r="G185" t="s">
        <v>13</v>
      </c>
      <c r="H185">
        <v>7419.4778999999999</v>
      </c>
    </row>
    <row r="186" spans="1:8" x14ac:dyDescent="0.3">
      <c r="A186">
        <v>44</v>
      </c>
      <c r="B186" t="s">
        <v>10</v>
      </c>
      <c r="C186">
        <v>30.69</v>
      </c>
      <c r="D186" t="str">
        <f t="shared" si="3"/>
        <v>Obese</v>
      </c>
      <c r="E186">
        <v>2</v>
      </c>
      <c r="F186" t="s">
        <v>11</v>
      </c>
      <c r="G186" t="s">
        <v>12</v>
      </c>
      <c r="H186">
        <v>7731.4270999999999</v>
      </c>
    </row>
    <row r="187" spans="1:8" x14ac:dyDescent="0.3">
      <c r="A187">
        <v>36</v>
      </c>
      <c r="B187" t="s">
        <v>10</v>
      </c>
      <c r="C187">
        <v>41.895000000000003</v>
      </c>
      <c r="D187" t="str">
        <f t="shared" si="3"/>
        <v>Obese</v>
      </c>
      <c r="E187">
        <v>3</v>
      </c>
      <c r="F187" t="s">
        <v>8</v>
      </c>
      <c r="G187" t="s">
        <v>14</v>
      </c>
      <c r="H187">
        <v>43753.337050000002</v>
      </c>
    </row>
    <row r="188" spans="1:8" x14ac:dyDescent="0.3">
      <c r="A188">
        <v>26</v>
      </c>
      <c r="B188" t="s">
        <v>7</v>
      </c>
      <c r="C188">
        <v>29.92</v>
      </c>
      <c r="D188" t="str">
        <f t="shared" si="3"/>
        <v>Overweight</v>
      </c>
      <c r="E188">
        <v>2</v>
      </c>
      <c r="F188" t="s">
        <v>11</v>
      </c>
      <c r="G188" t="s">
        <v>12</v>
      </c>
      <c r="H188">
        <v>3981.9767999999999</v>
      </c>
    </row>
    <row r="189" spans="1:8" x14ac:dyDescent="0.3">
      <c r="A189">
        <v>30</v>
      </c>
      <c r="B189" t="s">
        <v>7</v>
      </c>
      <c r="C189">
        <v>30.9</v>
      </c>
      <c r="D189" t="str">
        <f t="shared" si="3"/>
        <v>Obese</v>
      </c>
      <c r="E189">
        <v>3</v>
      </c>
      <c r="F189" t="s">
        <v>11</v>
      </c>
      <c r="G189" t="s">
        <v>9</v>
      </c>
      <c r="H189">
        <v>5325.6509999999998</v>
      </c>
    </row>
    <row r="190" spans="1:8" x14ac:dyDescent="0.3">
      <c r="A190">
        <v>41</v>
      </c>
      <c r="B190" t="s">
        <v>7</v>
      </c>
      <c r="C190">
        <v>32.200000000000003</v>
      </c>
      <c r="D190" t="str">
        <f t="shared" si="3"/>
        <v>Obese</v>
      </c>
      <c r="E190">
        <v>1</v>
      </c>
      <c r="F190" t="s">
        <v>11</v>
      </c>
      <c r="G190" t="s">
        <v>9</v>
      </c>
      <c r="H190">
        <v>6775.9610000000002</v>
      </c>
    </row>
    <row r="191" spans="1:8" x14ac:dyDescent="0.3">
      <c r="A191">
        <v>29</v>
      </c>
      <c r="B191" t="s">
        <v>7</v>
      </c>
      <c r="C191">
        <v>32.11</v>
      </c>
      <c r="D191" t="str">
        <f t="shared" si="3"/>
        <v>Obese</v>
      </c>
      <c r="E191">
        <v>2</v>
      </c>
      <c r="F191" t="s">
        <v>11</v>
      </c>
      <c r="G191" t="s">
        <v>13</v>
      </c>
      <c r="H191">
        <v>4922.9159</v>
      </c>
    </row>
    <row r="192" spans="1:8" x14ac:dyDescent="0.3">
      <c r="A192">
        <v>61</v>
      </c>
      <c r="B192" t="s">
        <v>10</v>
      </c>
      <c r="C192">
        <v>31.57</v>
      </c>
      <c r="D192" t="str">
        <f t="shared" si="3"/>
        <v>Obese</v>
      </c>
      <c r="E192">
        <v>0</v>
      </c>
      <c r="F192" t="s">
        <v>11</v>
      </c>
      <c r="G192" t="s">
        <v>12</v>
      </c>
      <c r="H192">
        <v>12557.605299999999</v>
      </c>
    </row>
    <row r="193" spans="1:8" x14ac:dyDescent="0.3">
      <c r="A193">
        <v>36</v>
      </c>
      <c r="B193" t="s">
        <v>7</v>
      </c>
      <c r="C193">
        <v>26.2</v>
      </c>
      <c r="D193" t="str">
        <f t="shared" si="3"/>
        <v>Overweight</v>
      </c>
      <c r="E193">
        <v>0</v>
      </c>
      <c r="F193" t="s">
        <v>11</v>
      </c>
      <c r="G193" t="s">
        <v>9</v>
      </c>
      <c r="H193">
        <v>4883.866</v>
      </c>
    </row>
    <row r="194" spans="1:8" x14ac:dyDescent="0.3">
      <c r="A194">
        <v>25</v>
      </c>
      <c r="B194" t="s">
        <v>10</v>
      </c>
      <c r="C194">
        <v>25.74</v>
      </c>
      <c r="D194" t="str">
        <f t="shared" si="3"/>
        <v>Overweight</v>
      </c>
      <c r="E194">
        <v>0</v>
      </c>
      <c r="F194" t="s">
        <v>11</v>
      </c>
      <c r="G194" t="s">
        <v>12</v>
      </c>
      <c r="H194">
        <v>2137.6536000000001</v>
      </c>
    </row>
    <row r="195" spans="1:8" x14ac:dyDescent="0.3">
      <c r="A195">
        <v>56</v>
      </c>
      <c r="B195" t="s">
        <v>7</v>
      </c>
      <c r="C195">
        <v>26.6</v>
      </c>
      <c r="D195" t="str">
        <f t="shared" si="3"/>
        <v>Overweight</v>
      </c>
      <c r="E195">
        <v>1</v>
      </c>
      <c r="F195" t="s">
        <v>11</v>
      </c>
      <c r="G195" t="s">
        <v>13</v>
      </c>
      <c r="H195">
        <v>12044.342000000001</v>
      </c>
    </row>
    <row r="196" spans="1:8" x14ac:dyDescent="0.3">
      <c r="A196">
        <v>18</v>
      </c>
      <c r="B196" t="s">
        <v>10</v>
      </c>
      <c r="C196">
        <v>34.43</v>
      </c>
      <c r="D196" t="str">
        <f t="shared" si="3"/>
        <v>Obese</v>
      </c>
      <c r="E196">
        <v>0</v>
      </c>
      <c r="F196" t="s">
        <v>11</v>
      </c>
      <c r="G196" t="s">
        <v>12</v>
      </c>
      <c r="H196">
        <v>1137.4697000000001</v>
      </c>
    </row>
    <row r="197" spans="1:8" x14ac:dyDescent="0.3">
      <c r="A197">
        <v>19</v>
      </c>
      <c r="B197" t="s">
        <v>10</v>
      </c>
      <c r="C197">
        <v>30.59</v>
      </c>
      <c r="D197" t="str">
        <f t="shared" si="3"/>
        <v>Obese</v>
      </c>
      <c r="E197">
        <v>0</v>
      </c>
      <c r="F197" t="s">
        <v>11</v>
      </c>
      <c r="G197" t="s">
        <v>13</v>
      </c>
      <c r="H197">
        <v>1639.5631000000001</v>
      </c>
    </row>
    <row r="198" spans="1:8" x14ac:dyDescent="0.3">
      <c r="A198">
        <v>39</v>
      </c>
      <c r="B198" t="s">
        <v>7</v>
      </c>
      <c r="C198">
        <v>32.799999999999997</v>
      </c>
      <c r="D198" t="str">
        <f t="shared" si="3"/>
        <v>Obese</v>
      </c>
      <c r="E198">
        <v>0</v>
      </c>
      <c r="F198" t="s">
        <v>11</v>
      </c>
      <c r="G198" t="s">
        <v>9</v>
      </c>
      <c r="H198">
        <v>5649.7150000000001</v>
      </c>
    </row>
    <row r="199" spans="1:8" x14ac:dyDescent="0.3">
      <c r="A199">
        <v>45</v>
      </c>
      <c r="B199" t="s">
        <v>7</v>
      </c>
      <c r="C199">
        <v>28.6</v>
      </c>
      <c r="D199" t="str">
        <f t="shared" si="3"/>
        <v>Overweight</v>
      </c>
      <c r="E199">
        <v>2</v>
      </c>
      <c r="F199" t="s">
        <v>11</v>
      </c>
      <c r="G199" t="s">
        <v>12</v>
      </c>
      <c r="H199">
        <v>8516.8289999999997</v>
      </c>
    </row>
    <row r="200" spans="1:8" x14ac:dyDescent="0.3">
      <c r="A200">
        <v>51</v>
      </c>
      <c r="B200" t="s">
        <v>7</v>
      </c>
      <c r="C200">
        <v>18.05</v>
      </c>
      <c r="D200" t="str">
        <f t="shared" si="3"/>
        <v>Underweight</v>
      </c>
      <c r="E200">
        <v>0</v>
      </c>
      <c r="F200" t="s">
        <v>11</v>
      </c>
      <c r="G200" t="s">
        <v>13</v>
      </c>
      <c r="H200">
        <v>9644.2525000000005</v>
      </c>
    </row>
    <row r="201" spans="1:8" x14ac:dyDescent="0.3">
      <c r="A201">
        <v>64</v>
      </c>
      <c r="B201" t="s">
        <v>7</v>
      </c>
      <c r="C201">
        <v>39.33</v>
      </c>
      <c r="D201" t="str">
        <f t="shared" si="3"/>
        <v>Obese</v>
      </c>
      <c r="E201">
        <v>0</v>
      </c>
      <c r="F201" t="s">
        <v>11</v>
      </c>
      <c r="G201" t="s">
        <v>14</v>
      </c>
      <c r="H201">
        <v>14901.5167</v>
      </c>
    </row>
    <row r="202" spans="1:8" x14ac:dyDescent="0.3">
      <c r="A202">
        <v>19</v>
      </c>
      <c r="B202" t="s">
        <v>7</v>
      </c>
      <c r="C202">
        <v>32.11</v>
      </c>
      <c r="D202" t="str">
        <f t="shared" si="3"/>
        <v>Obese</v>
      </c>
      <c r="E202">
        <v>0</v>
      </c>
      <c r="F202" t="s">
        <v>11</v>
      </c>
      <c r="G202" t="s">
        <v>13</v>
      </c>
      <c r="H202">
        <v>2130.6759000000002</v>
      </c>
    </row>
    <row r="203" spans="1:8" x14ac:dyDescent="0.3">
      <c r="A203">
        <v>48</v>
      </c>
      <c r="B203" t="s">
        <v>7</v>
      </c>
      <c r="C203">
        <v>32.229999999999997</v>
      </c>
      <c r="D203" t="str">
        <f t="shared" si="3"/>
        <v>Obese</v>
      </c>
      <c r="E203">
        <v>1</v>
      </c>
      <c r="F203" t="s">
        <v>11</v>
      </c>
      <c r="G203" t="s">
        <v>12</v>
      </c>
      <c r="H203">
        <v>8871.1517000000003</v>
      </c>
    </row>
    <row r="204" spans="1:8" x14ac:dyDescent="0.3">
      <c r="A204">
        <v>60</v>
      </c>
      <c r="B204" t="s">
        <v>7</v>
      </c>
      <c r="C204">
        <v>24.035</v>
      </c>
      <c r="D204" t="str">
        <f t="shared" si="3"/>
        <v>Normal</v>
      </c>
      <c r="E204">
        <v>0</v>
      </c>
      <c r="F204" t="s">
        <v>11</v>
      </c>
      <c r="G204" t="s">
        <v>13</v>
      </c>
      <c r="H204">
        <v>13012.20865</v>
      </c>
    </row>
    <row r="205" spans="1:8" x14ac:dyDescent="0.3">
      <c r="A205">
        <v>27</v>
      </c>
      <c r="B205" t="s">
        <v>7</v>
      </c>
      <c r="C205">
        <v>36.08</v>
      </c>
      <c r="D205" t="str">
        <f t="shared" si="3"/>
        <v>Obese</v>
      </c>
      <c r="E205">
        <v>0</v>
      </c>
      <c r="F205" t="s">
        <v>8</v>
      </c>
      <c r="G205" t="s">
        <v>12</v>
      </c>
      <c r="H205">
        <v>37133.898200000003</v>
      </c>
    </row>
    <row r="206" spans="1:8" x14ac:dyDescent="0.3">
      <c r="A206">
        <v>46</v>
      </c>
      <c r="B206" t="s">
        <v>10</v>
      </c>
      <c r="C206">
        <v>22.3</v>
      </c>
      <c r="D206" t="str">
        <f t="shared" si="3"/>
        <v>Normal</v>
      </c>
      <c r="E206">
        <v>0</v>
      </c>
      <c r="F206" t="s">
        <v>11</v>
      </c>
      <c r="G206" t="s">
        <v>9</v>
      </c>
      <c r="H206">
        <v>7147.1049999999996</v>
      </c>
    </row>
    <row r="207" spans="1:8" x14ac:dyDescent="0.3">
      <c r="A207">
        <v>28</v>
      </c>
      <c r="B207" t="s">
        <v>7</v>
      </c>
      <c r="C207">
        <v>28.88</v>
      </c>
      <c r="D207" t="str">
        <f t="shared" si="3"/>
        <v>Overweight</v>
      </c>
      <c r="E207">
        <v>1</v>
      </c>
      <c r="F207" t="s">
        <v>11</v>
      </c>
      <c r="G207" t="s">
        <v>14</v>
      </c>
      <c r="H207">
        <v>4337.7352000000001</v>
      </c>
    </row>
    <row r="208" spans="1:8" x14ac:dyDescent="0.3">
      <c r="A208">
        <v>59</v>
      </c>
      <c r="B208" t="s">
        <v>10</v>
      </c>
      <c r="C208">
        <v>26.4</v>
      </c>
      <c r="D208" t="str">
        <f t="shared" si="3"/>
        <v>Overweight</v>
      </c>
      <c r="E208">
        <v>0</v>
      </c>
      <c r="F208" t="s">
        <v>11</v>
      </c>
      <c r="G208" t="s">
        <v>12</v>
      </c>
      <c r="H208">
        <v>11743.299000000001</v>
      </c>
    </row>
    <row r="209" spans="1:8" x14ac:dyDescent="0.3">
      <c r="A209">
        <v>35</v>
      </c>
      <c r="B209" t="s">
        <v>10</v>
      </c>
      <c r="C209">
        <v>27.74</v>
      </c>
      <c r="D209" t="str">
        <f t="shared" si="3"/>
        <v>Overweight</v>
      </c>
      <c r="E209">
        <v>2</v>
      </c>
      <c r="F209" t="s">
        <v>8</v>
      </c>
      <c r="G209" t="s">
        <v>14</v>
      </c>
      <c r="H209">
        <v>20984.0936</v>
      </c>
    </row>
    <row r="210" spans="1:8" x14ac:dyDescent="0.3">
      <c r="A210">
        <v>63</v>
      </c>
      <c r="B210" t="s">
        <v>7</v>
      </c>
      <c r="C210">
        <v>31.8</v>
      </c>
      <c r="D210" t="str">
        <f t="shared" si="3"/>
        <v>Obese</v>
      </c>
      <c r="E210">
        <v>0</v>
      </c>
      <c r="F210" t="s">
        <v>11</v>
      </c>
      <c r="G210" t="s">
        <v>9</v>
      </c>
      <c r="H210">
        <v>13880.949000000001</v>
      </c>
    </row>
    <row r="211" spans="1:8" x14ac:dyDescent="0.3">
      <c r="A211">
        <v>40</v>
      </c>
      <c r="B211" t="s">
        <v>10</v>
      </c>
      <c r="C211">
        <v>41.23</v>
      </c>
      <c r="D211" t="str">
        <f t="shared" si="3"/>
        <v>Obese</v>
      </c>
      <c r="E211">
        <v>1</v>
      </c>
      <c r="F211" t="s">
        <v>11</v>
      </c>
      <c r="G211" t="s">
        <v>14</v>
      </c>
      <c r="H211">
        <v>6610.1097</v>
      </c>
    </row>
    <row r="212" spans="1:8" x14ac:dyDescent="0.3">
      <c r="A212">
        <v>20</v>
      </c>
      <c r="B212" t="s">
        <v>10</v>
      </c>
      <c r="C212">
        <v>33</v>
      </c>
      <c r="D212" t="str">
        <f t="shared" si="3"/>
        <v>Obese</v>
      </c>
      <c r="E212">
        <v>1</v>
      </c>
      <c r="F212" t="s">
        <v>11</v>
      </c>
      <c r="G212" t="s">
        <v>9</v>
      </c>
      <c r="H212">
        <v>1980.07</v>
      </c>
    </row>
    <row r="213" spans="1:8" x14ac:dyDescent="0.3">
      <c r="A213">
        <v>40</v>
      </c>
      <c r="B213" t="s">
        <v>10</v>
      </c>
      <c r="C213">
        <v>30.875</v>
      </c>
      <c r="D213" t="str">
        <f t="shared" ref="D213:D276" si="4">IF(C213&lt;18.5,"Underweight",IF(C213&lt;24.9,"Normal",IF(C213&lt;30,"Overweight","Obese")))</f>
        <v>Obese</v>
      </c>
      <c r="E213">
        <v>4</v>
      </c>
      <c r="F213" t="s">
        <v>11</v>
      </c>
      <c r="G213" t="s">
        <v>13</v>
      </c>
      <c r="H213">
        <v>8162.7162500000004</v>
      </c>
    </row>
    <row r="214" spans="1:8" x14ac:dyDescent="0.3">
      <c r="A214">
        <v>24</v>
      </c>
      <c r="B214" t="s">
        <v>10</v>
      </c>
      <c r="C214">
        <v>28.5</v>
      </c>
      <c r="D214" t="str">
        <f t="shared" si="4"/>
        <v>Overweight</v>
      </c>
      <c r="E214">
        <v>2</v>
      </c>
      <c r="F214" t="s">
        <v>11</v>
      </c>
      <c r="G214" t="s">
        <v>13</v>
      </c>
      <c r="H214">
        <v>3537.703</v>
      </c>
    </row>
    <row r="215" spans="1:8" x14ac:dyDescent="0.3">
      <c r="A215">
        <v>34</v>
      </c>
      <c r="B215" t="s">
        <v>7</v>
      </c>
      <c r="C215">
        <v>26.73</v>
      </c>
      <c r="D215" t="str">
        <f t="shared" si="4"/>
        <v>Overweight</v>
      </c>
      <c r="E215">
        <v>1</v>
      </c>
      <c r="F215" t="s">
        <v>11</v>
      </c>
      <c r="G215" t="s">
        <v>12</v>
      </c>
      <c r="H215">
        <v>5002.7826999999997</v>
      </c>
    </row>
    <row r="216" spans="1:8" x14ac:dyDescent="0.3">
      <c r="A216">
        <v>45</v>
      </c>
      <c r="B216" t="s">
        <v>7</v>
      </c>
      <c r="C216">
        <v>30.9</v>
      </c>
      <c r="D216" t="str">
        <f t="shared" si="4"/>
        <v>Obese</v>
      </c>
      <c r="E216">
        <v>2</v>
      </c>
      <c r="F216" t="s">
        <v>11</v>
      </c>
      <c r="G216" t="s">
        <v>9</v>
      </c>
      <c r="H216">
        <v>8520.0259999999998</v>
      </c>
    </row>
    <row r="217" spans="1:8" x14ac:dyDescent="0.3">
      <c r="A217">
        <v>41</v>
      </c>
      <c r="B217" t="s">
        <v>7</v>
      </c>
      <c r="C217">
        <v>37.1</v>
      </c>
      <c r="D217" t="str">
        <f t="shared" si="4"/>
        <v>Obese</v>
      </c>
      <c r="E217">
        <v>2</v>
      </c>
      <c r="F217" t="s">
        <v>11</v>
      </c>
      <c r="G217" t="s">
        <v>9</v>
      </c>
      <c r="H217">
        <v>7371.7719999999999</v>
      </c>
    </row>
    <row r="218" spans="1:8" x14ac:dyDescent="0.3">
      <c r="A218">
        <v>53</v>
      </c>
      <c r="B218" t="s">
        <v>7</v>
      </c>
      <c r="C218">
        <v>26.6</v>
      </c>
      <c r="D218" t="str">
        <f t="shared" si="4"/>
        <v>Overweight</v>
      </c>
      <c r="E218">
        <v>0</v>
      </c>
      <c r="F218" t="s">
        <v>11</v>
      </c>
      <c r="G218" t="s">
        <v>13</v>
      </c>
      <c r="H218">
        <v>10355.641</v>
      </c>
    </row>
    <row r="219" spans="1:8" x14ac:dyDescent="0.3">
      <c r="A219">
        <v>27</v>
      </c>
      <c r="B219" t="s">
        <v>10</v>
      </c>
      <c r="C219">
        <v>23.1</v>
      </c>
      <c r="D219" t="str">
        <f t="shared" si="4"/>
        <v>Normal</v>
      </c>
      <c r="E219">
        <v>0</v>
      </c>
      <c r="F219" t="s">
        <v>11</v>
      </c>
      <c r="G219" t="s">
        <v>12</v>
      </c>
      <c r="H219">
        <v>2483.7359999999999</v>
      </c>
    </row>
    <row r="220" spans="1:8" x14ac:dyDescent="0.3">
      <c r="A220">
        <v>26</v>
      </c>
      <c r="B220" t="s">
        <v>7</v>
      </c>
      <c r="C220">
        <v>29.92</v>
      </c>
      <c r="D220" t="str">
        <f t="shared" si="4"/>
        <v>Overweight</v>
      </c>
      <c r="E220">
        <v>1</v>
      </c>
      <c r="F220" t="s">
        <v>11</v>
      </c>
      <c r="G220" t="s">
        <v>12</v>
      </c>
      <c r="H220">
        <v>3392.9767999999999</v>
      </c>
    </row>
    <row r="221" spans="1:8" x14ac:dyDescent="0.3">
      <c r="A221">
        <v>24</v>
      </c>
      <c r="B221" t="s">
        <v>7</v>
      </c>
      <c r="C221">
        <v>23.21</v>
      </c>
      <c r="D221" t="str">
        <f t="shared" si="4"/>
        <v>Normal</v>
      </c>
      <c r="E221">
        <v>0</v>
      </c>
      <c r="F221" t="s">
        <v>11</v>
      </c>
      <c r="G221" t="s">
        <v>12</v>
      </c>
      <c r="H221">
        <v>25081.76784</v>
      </c>
    </row>
    <row r="222" spans="1:8" x14ac:dyDescent="0.3">
      <c r="A222">
        <v>34</v>
      </c>
      <c r="B222" t="s">
        <v>7</v>
      </c>
      <c r="C222">
        <v>33.700000000000003</v>
      </c>
      <c r="D222" t="str">
        <f t="shared" si="4"/>
        <v>Obese</v>
      </c>
      <c r="E222">
        <v>1</v>
      </c>
      <c r="F222" t="s">
        <v>11</v>
      </c>
      <c r="G222" t="s">
        <v>9</v>
      </c>
      <c r="H222">
        <v>5012.4709999999995</v>
      </c>
    </row>
    <row r="223" spans="1:8" x14ac:dyDescent="0.3">
      <c r="A223">
        <v>53</v>
      </c>
      <c r="B223" t="s">
        <v>7</v>
      </c>
      <c r="C223">
        <v>33.25</v>
      </c>
      <c r="D223" t="str">
        <f t="shared" si="4"/>
        <v>Obese</v>
      </c>
      <c r="E223">
        <v>0</v>
      </c>
      <c r="F223" t="s">
        <v>11</v>
      </c>
      <c r="G223" t="s">
        <v>14</v>
      </c>
      <c r="H223">
        <v>10564.8845</v>
      </c>
    </row>
    <row r="224" spans="1:8" x14ac:dyDescent="0.3">
      <c r="A224">
        <v>32</v>
      </c>
      <c r="B224" t="s">
        <v>10</v>
      </c>
      <c r="C224">
        <v>30.8</v>
      </c>
      <c r="D224" t="str">
        <f t="shared" si="4"/>
        <v>Obese</v>
      </c>
      <c r="E224">
        <v>3</v>
      </c>
      <c r="F224" t="s">
        <v>11</v>
      </c>
      <c r="G224" t="s">
        <v>9</v>
      </c>
      <c r="H224">
        <v>5253.5240000000003</v>
      </c>
    </row>
    <row r="225" spans="1:8" x14ac:dyDescent="0.3">
      <c r="A225">
        <v>19</v>
      </c>
      <c r="B225" t="s">
        <v>10</v>
      </c>
      <c r="C225">
        <v>34.799999999999997</v>
      </c>
      <c r="D225" t="str">
        <f t="shared" si="4"/>
        <v>Obese</v>
      </c>
      <c r="E225">
        <v>0</v>
      </c>
      <c r="F225" t="s">
        <v>8</v>
      </c>
      <c r="G225" t="s">
        <v>9</v>
      </c>
      <c r="H225">
        <v>34779.614999999998</v>
      </c>
    </row>
    <row r="226" spans="1:8" x14ac:dyDescent="0.3">
      <c r="A226">
        <v>42</v>
      </c>
      <c r="B226" t="s">
        <v>10</v>
      </c>
      <c r="C226">
        <v>24.64</v>
      </c>
      <c r="D226" t="str">
        <f t="shared" si="4"/>
        <v>Normal</v>
      </c>
      <c r="E226">
        <v>0</v>
      </c>
      <c r="F226" t="s">
        <v>8</v>
      </c>
      <c r="G226" t="s">
        <v>12</v>
      </c>
      <c r="H226">
        <v>19515.5416</v>
      </c>
    </row>
    <row r="227" spans="1:8" x14ac:dyDescent="0.3">
      <c r="A227">
        <v>55</v>
      </c>
      <c r="B227" t="s">
        <v>10</v>
      </c>
      <c r="C227">
        <v>33.880000000000003</v>
      </c>
      <c r="D227" t="str">
        <f t="shared" si="4"/>
        <v>Obese</v>
      </c>
      <c r="E227">
        <v>3</v>
      </c>
      <c r="F227" t="s">
        <v>11</v>
      </c>
      <c r="G227" t="s">
        <v>12</v>
      </c>
      <c r="H227">
        <v>11987.1682</v>
      </c>
    </row>
    <row r="228" spans="1:8" x14ac:dyDescent="0.3">
      <c r="A228">
        <v>28</v>
      </c>
      <c r="B228" t="s">
        <v>10</v>
      </c>
      <c r="C228">
        <v>38.06</v>
      </c>
      <c r="D228" t="str">
        <f t="shared" si="4"/>
        <v>Obese</v>
      </c>
      <c r="E228">
        <v>0</v>
      </c>
      <c r="F228" t="s">
        <v>11</v>
      </c>
      <c r="G228" t="s">
        <v>12</v>
      </c>
      <c r="H228">
        <v>2689.4953999999998</v>
      </c>
    </row>
    <row r="229" spans="1:8" x14ac:dyDescent="0.3">
      <c r="A229">
        <v>58</v>
      </c>
      <c r="B229" t="s">
        <v>7</v>
      </c>
      <c r="C229">
        <v>41.91</v>
      </c>
      <c r="D229" t="str">
        <f t="shared" si="4"/>
        <v>Obese</v>
      </c>
      <c r="E229">
        <v>0</v>
      </c>
      <c r="F229" t="s">
        <v>11</v>
      </c>
      <c r="G229" t="s">
        <v>12</v>
      </c>
      <c r="H229">
        <v>24227.337240000001</v>
      </c>
    </row>
    <row r="230" spans="1:8" x14ac:dyDescent="0.3">
      <c r="A230">
        <v>41</v>
      </c>
      <c r="B230" t="s">
        <v>7</v>
      </c>
      <c r="C230">
        <v>31.635000000000002</v>
      </c>
      <c r="D230" t="str">
        <f t="shared" si="4"/>
        <v>Obese</v>
      </c>
      <c r="E230">
        <v>1</v>
      </c>
      <c r="F230" t="s">
        <v>11</v>
      </c>
      <c r="G230" t="s">
        <v>14</v>
      </c>
      <c r="H230">
        <v>7358.1756500000001</v>
      </c>
    </row>
    <row r="231" spans="1:8" x14ac:dyDescent="0.3">
      <c r="A231">
        <v>47</v>
      </c>
      <c r="B231" t="s">
        <v>10</v>
      </c>
      <c r="C231">
        <v>25.46</v>
      </c>
      <c r="D231" t="str">
        <f t="shared" si="4"/>
        <v>Overweight</v>
      </c>
      <c r="E231">
        <v>2</v>
      </c>
      <c r="F231" t="s">
        <v>11</v>
      </c>
      <c r="G231" t="s">
        <v>14</v>
      </c>
      <c r="H231">
        <v>9225.2564000000002</v>
      </c>
    </row>
    <row r="232" spans="1:8" x14ac:dyDescent="0.3">
      <c r="A232">
        <v>42</v>
      </c>
      <c r="B232" t="s">
        <v>7</v>
      </c>
      <c r="C232">
        <v>36.195</v>
      </c>
      <c r="D232" t="str">
        <f t="shared" si="4"/>
        <v>Obese</v>
      </c>
      <c r="E232">
        <v>1</v>
      </c>
      <c r="F232" t="s">
        <v>11</v>
      </c>
      <c r="G232" t="s">
        <v>13</v>
      </c>
      <c r="H232">
        <v>7443.6430499999997</v>
      </c>
    </row>
    <row r="233" spans="1:8" x14ac:dyDescent="0.3">
      <c r="A233">
        <v>59</v>
      </c>
      <c r="B233" t="s">
        <v>7</v>
      </c>
      <c r="C233">
        <v>27.83</v>
      </c>
      <c r="D233" t="str">
        <f t="shared" si="4"/>
        <v>Overweight</v>
      </c>
      <c r="E233">
        <v>3</v>
      </c>
      <c r="F233" t="s">
        <v>11</v>
      </c>
      <c r="G233" t="s">
        <v>12</v>
      </c>
      <c r="H233">
        <v>14001.286700000001</v>
      </c>
    </row>
    <row r="234" spans="1:8" x14ac:dyDescent="0.3">
      <c r="A234">
        <v>19</v>
      </c>
      <c r="B234" t="s">
        <v>7</v>
      </c>
      <c r="C234">
        <v>17.8</v>
      </c>
      <c r="D234" t="str">
        <f t="shared" si="4"/>
        <v>Underweight</v>
      </c>
      <c r="E234">
        <v>0</v>
      </c>
      <c r="F234" t="s">
        <v>11</v>
      </c>
      <c r="G234" t="s">
        <v>9</v>
      </c>
      <c r="H234">
        <v>1727.7850000000001</v>
      </c>
    </row>
    <row r="235" spans="1:8" x14ac:dyDescent="0.3">
      <c r="A235">
        <v>59</v>
      </c>
      <c r="B235" t="s">
        <v>10</v>
      </c>
      <c r="C235">
        <v>27.5</v>
      </c>
      <c r="D235" t="str">
        <f t="shared" si="4"/>
        <v>Overweight</v>
      </c>
      <c r="E235">
        <v>1</v>
      </c>
      <c r="F235" t="s">
        <v>11</v>
      </c>
      <c r="G235" t="s">
        <v>9</v>
      </c>
      <c r="H235">
        <v>12333.828</v>
      </c>
    </row>
    <row r="236" spans="1:8" x14ac:dyDescent="0.3">
      <c r="A236">
        <v>39</v>
      </c>
      <c r="B236" t="s">
        <v>10</v>
      </c>
      <c r="C236">
        <v>24.51</v>
      </c>
      <c r="D236" t="str">
        <f t="shared" si="4"/>
        <v>Normal</v>
      </c>
      <c r="E236">
        <v>2</v>
      </c>
      <c r="F236" t="s">
        <v>11</v>
      </c>
      <c r="G236" t="s">
        <v>13</v>
      </c>
      <c r="H236">
        <v>6710.1918999999998</v>
      </c>
    </row>
    <row r="237" spans="1:8" x14ac:dyDescent="0.3">
      <c r="A237">
        <v>40</v>
      </c>
      <c r="B237" t="s">
        <v>7</v>
      </c>
      <c r="C237">
        <v>22.22</v>
      </c>
      <c r="D237" t="str">
        <f t="shared" si="4"/>
        <v>Normal</v>
      </c>
      <c r="E237">
        <v>2</v>
      </c>
      <c r="F237" t="s">
        <v>8</v>
      </c>
      <c r="G237" t="s">
        <v>12</v>
      </c>
      <c r="H237">
        <v>19444.265800000001</v>
      </c>
    </row>
    <row r="238" spans="1:8" x14ac:dyDescent="0.3">
      <c r="A238">
        <v>18</v>
      </c>
      <c r="B238" t="s">
        <v>7</v>
      </c>
      <c r="C238">
        <v>26.73</v>
      </c>
      <c r="D238" t="str">
        <f t="shared" si="4"/>
        <v>Overweight</v>
      </c>
      <c r="E238">
        <v>0</v>
      </c>
      <c r="F238" t="s">
        <v>11</v>
      </c>
      <c r="G238" t="s">
        <v>12</v>
      </c>
      <c r="H238">
        <v>1615.7666999999999</v>
      </c>
    </row>
    <row r="239" spans="1:8" x14ac:dyDescent="0.3">
      <c r="A239">
        <v>31</v>
      </c>
      <c r="B239" t="s">
        <v>10</v>
      </c>
      <c r="C239">
        <v>38.39</v>
      </c>
      <c r="D239" t="str">
        <f t="shared" si="4"/>
        <v>Obese</v>
      </c>
      <c r="E239">
        <v>2</v>
      </c>
      <c r="F239" t="s">
        <v>11</v>
      </c>
      <c r="G239" t="s">
        <v>12</v>
      </c>
      <c r="H239">
        <v>4463.2051000000001</v>
      </c>
    </row>
    <row r="240" spans="1:8" x14ac:dyDescent="0.3">
      <c r="A240">
        <v>19</v>
      </c>
      <c r="B240" t="s">
        <v>10</v>
      </c>
      <c r="C240">
        <v>29.07</v>
      </c>
      <c r="D240" t="str">
        <f t="shared" si="4"/>
        <v>Overweight</v>
      </c>
      <c r="E240">
        <v>0</v>
      </c>
      <c r="F240" t="s">
        <v>8</v>
      </c>
      <c r="G240" t="s">
        <v>13</v>
      </c>
      <c r="H240">
        <v>17352.6803</v>
      </c>
    </row>
    <row r="241" spans="1:8" x14ac:dyDescent="0.3">
      <c r="A241">
        <v>44</v>
      </c>
      <c r="B241" t="s">
        <v>10</v>
      </c>
      <c r="C241">
        <v>38.06</v>
      </c>
      <c r="D241" t="str">
        <f t="shared" si="4"/>
        <v>Obese</v>
      </c>
      <c r="E241">
        <v>1</v>
      </c>
      <c r="F241" t="s">
        <v>11</v>
      </c>
      <c r="G241" t="s">
        <v>12</v>
      </c>
      <c r="H241">
        <v>7152.6714000000002</v>
      </c>
    </row>
    <row r="242" spans="1:8" x14ac:dyDescent="0.3">
      <c r="A242">
        <v>23</v>
      </c>
      <c r="B242" t="s">
        <v>7</v>
      </c>
      <c r="C242">
        <v>36.67</v>
      </c>
      <c r="D242" t="str">
        <f t="shared" si="4"/>
        <v>Obese</v>
      </c>
      <c r="E242">
        <v>2</v>
      </c>
      <c r="F242" t="s">
        <v>8</v>
      </c>
      <c r="G242" t="s">
        <v>14</v>
      </c>
      <c r="H242">
        <v>38511.628299999997</v>
      </c>
    </row>
    <row r="243" spans="1:8" x14ac:dyDescent="0.3">
      <c r="A243">
        <v>33</v>
      </c>
      <c r="B243" t="s">
        <v>7</v>
      </c>
      <c r="C243">
        <v>22.135000000000002</v>
      </c>
      <c r="D243" t="str">
        <f t="shared" si="4"/>
        <v>Normal</v>
      </c>
      <c r="E243">
        <v>1</v>
      </c>
      <c r="F243" t="s">
        <v>11</v>
      </c>
      <c r="G243" t="s">
        <v>14</v>
      </c>
      <c r="H243">
        <v>5354.0746499999996</v>
      </c>
    </row>
    <row r="244" spans="1:8" x14ac:dyDescent="0.3">
      <c r="A244">
        <v>55</v>
      </c>
      <c r="B244" t="s">
        <v>7</v>
      </c>
      <c r="C244">
        <v>26.8</v>
      </c>
      <c r="D244" t="str">
        <f t="shared" si="4"/>
        <v>Overweight</v>
      </c>
      <c r="E244">
        <v>1</v>
      </c>
      <c r="F244" t="s">
        <v>11</v>
      </c>
      <c r="G244" t="s">
        <v>9</v>
      </c>
      <c r="H244">
        <v>35160.134570000002</v>
      </c>
    </row>
    <row r="245" spans="1:8" x14ac:dyDescent="0.3">
      <c r="A245">
        <v>40</v>
      </c>
      <c r="B245" t="s">
        <v>10</v>
      </c>
      <c r="C245">
        <v>35.299999999999997</v>
      </c>
      <c r="D245" t="str">
        <f t="shared" si="4"/>
        <v>Obese</v>
      </c>
      <c r="E245">
        <v>3</v>
      </c>
      <c r="F245" t="s">
        <v>11</v>
      </c>
      <c r="G245" t="s">
        <v>9</v>
      </c>
      <c r="H245">
        <v>7196.8670000000002</v>
      </c>
    </row>
    <row r="246" spans="1:8" x14ac:dyDescent="0.3">
      <c r="A246">
        <v>63</v>
      </c>
      <c r="B246" t="s">
        <v>7</v>
      </c>
      <c r="C246">
        <v>27.74</v>
      </c>
      <c r="D246" t="str">
        <f t="shared" si="4"/>
        <v>Overweight</v>
      </c>
      <c r="E246">
        <v>0</v>
      </c>
      <c r="F246" t="s">
        <v>8</v>
      </c>
      <c r="G246" t="s">
        <v>14</v>
      </c>
      <c r="H246">
        <v>29523.1656</v>
      </c>
    </row>
    <row r="247" spans="1:8" x14ac:dyDescent="0.3">
      <c r="A247">
        <v>54</v>
      </c>
      <c r="B247" t="s">
        <v>10</v>
      </c>
      <c r="C247">
        <v>30.02</v>
      </c>
      <c r="D247" t="str">
        <f t="shared" si="4"/>
        <v>Obese</v>
      </c>
      <c r="E247">
        <v>0</v>
      </c>
      <c r="F247" t="s">
        <v>11</v>
      </c>
      <c r="G247" t="s">
        <v>13</v>
      </c>
      <c r="H247">
        <v>24476.478510000001</v>
      </c>
    </row>
    <row r="248" spans="1:8" x14ac:dyDescent="0.3">
      <c r="A248">
        <v>60</v>
      </c>
      <c r="B248" t="s">
        <v>7</v>
      </c>
      <c r="C248">
        <v>38.06</v>
      </c>
      <c r="D248" t="str">
        <f t="shared" si="4"/>
        <v>Obese</v>
      </c>
      <c r="E248">
        <v>0</v>
      </c>
      <c r="F248" t="s">
        <v>11</v>
      </c>
      <c r="G248" t="s">
        <v>12</v>
      </c>
      <c r="H248">
        <v>12648.7034</v>
      </c>
    </row>
    <row r="249" spans="1:8" x14ac:dyDescent="0.3">
      <c r="A249">
        <v>24</v>
      </c>
      <c r="B249" t="s">
        <v>10</v>
      </c>
      <c r="C249">
        <v>35.86</v>
      </c>
      <c r="D249" t="str">
        <f t="shared" si="4"/>
        <v>Obese</v>
      </c>
      <c r="E249">
        <v>0</v>
      </c>
      <c r="F249" t="s">
        <v>11</v>
      </c>
      <c r="G249" t="s">
        <v>12</v>
      </c>
      <c r="H249">
        <v>1986.9333999999999</v>
      </c>
    </row>
    <row r="250" spans="1:8" x14ac:dyDescent="0.3">
      <c r="A250">
        <v>19</v>
      </c>
      <c r="B250" t="s">
        <v>10</v>
      </c>
      <c r="C250">
        <v>20.9</v>
      </c>
      <c r="D250" t="str">
        <f t="shared" si="4"/>
        <v>Normal</v>
      </c>
      <c r="E250">
        <v>1</v>
      </c>
      <c r="F250" t="s">
        <v>11</v>
      </c>
      <c r="G250" t="s">
        <v>9</v>
      </c>
      <c r="H250">
        <v>1832.0940000000001</v>
      </c>
    </row>
    <row r="251" spans="1:8" x14ac:dyDescent="0.3">
      <c r="A251">
        <v>29</v>
      </c>
      <c r="B251" t="s">
        <v>10</v>
      </c>
      <c r="C251">
        <v>28.975000000000001</v>
      </c>
      <c r="D251" t="str">
        <f t="shared" si="4"/>
        <v>Overweight</v>
      </c>
      <c r="E251">
        <v>1</v>
      </c>
      <c r="F251" t="s">
        <v>11</v>
      </c>
      <c r="G251" t="s">
        <v>14</v>
      </c>
      <c r="H251">
        <v>4040.55825</v>
      </c>
    </row>
    <row r="252" spans="1:8" x14ac:dyDescent="0.3">
      <c r="A252">
        <v>18</v>
      </c>
      <c r="B252" t="s">
        <v>10</v>
      </c>
      <c r="C252">
        <v>17.29</v>
      </c>
      <c r="D252" t="str">
        <f t="shared" si="4"/>
        <v>Underweight</v>
      </c>
      <c r="E252">
        <v>2</v>
      </c>
      <c r="F252" t="s">
        <v>8</v>
      </c>
      <c r="G252" t="s">
        <v>14</v>
      </c>
      <c r="H252">
        <v>12829.455099999999</v>
      </c>
    </row>
    <row r="253" spans="1:8" x14ac:dyDescent="0.3">
      <c r="A253">
        <v>63</v>
      </c>
      <c r="B253" t="s">
        <v>7</v>
      </c>
      <c r="C253">
        <v>32.200000000000003</v>
      </c>
      <c r="D253" t="str">
        <f t="shared" si="4"/>
        <v>Obese</v>
      </c>
      <c r="E253">
        <v>2</v>
      </c>
      <c r="F253" t="s">
        <v>8</v>
      </c>
      <c r="G253" t="s">
        <v>9</v>
      </c>
      <c r="H253">
        <v>47305.305</v>
      </c>
    </row>
    <row r="254" spans="1:8" x14ac:dyDescent="0.3">
      <c r="A254">
        <v>54</v>
      </c>
      <c r="B254" t="s">
        <v>10</v>
      </c>
      <c r="C254">
        <v>34.21</v>
      </c>
      <c r="D254" t="str">
        <f t="shared" si="4"/>
        <v>Obese</v>
      </c>
      <c r="E254">
        <v>2</v>
      </c>
      <c r="F254" t="s">
        <v>8</v>
      </c>
      <c r="G254" t="s">
        <v>12</v>
      </c>
      <c r="H254">
        <v>44260.749900000003</v>
      </c>
    </row>
    <row r="255" spans="1:8" x14ac:dyDescent="0.3">
      <c r="A255">
        <v>27</v>
      </c>
      <c r="B255" t="s">
        <v>10</v>
      </c>
      <c r="C255">
        <v>30.3</v>
      </c>
      <c r="D255" t="str">
        <f t="shared" si="4"/>
        <v>Obese</v>
      </c>
      <c r="E255">
        <v>3</v>
      </c>
      <c r="F255" t="s">
        <v>11</v>
      </c>
      <c r="G255" t="s">
        <v>9</v>
      </c>
      <c r="H255">
        <v>4260.7439999999997</v>
      </c>
    </row>
    <row r="256" spans="1:8" x14ac:dyDescent="0.3">
      <c r="A256">
        <v>50</v>
      </c>
      <c r="B256" t="s">
        <v>10</v>
      </c>
      <c r="C256">
        <v>31.824999999999999</v>
      </c>
      <c r="D256" t="str">
        <f t="shared" si="4"/>
        <v>Obese</v>
      </c>
      <c r="E256">
        <v>0</v>
      </c>
      <c r="F256" t="s">
        <v>8</v>
      </c>
      <c r="G256" t="s">
        <v>14</v>
      </c>
      <c r="H256">
        <v>41097.161749999999</v>
      </c>
    </row>
    <row r="257" spans="1:8" x14ac:dyDescent="0.3">
      <c r="A257">
        <v>55</v>
      </c>
      <c r="B257" t="s">
        <v>7</v>
      </c>
      <c r="C257">
        <v>25.364999999999998</v>
      </c>
      <c r="D257" t="str">
        <f t="shared" si="4"/>
        <v>Overweight</v>
      </c>
      <c r="E257">
        <v>3</v>
      </c>
      <c r="F257" t="s">
        <v>11</v>
      </c>
      <c r="G257" t="s">
        <v>14</v>
      </c>
      <c r="H257">
        <v>13047.332350000001</v>
      </c>
    </row>
    <row r="258" spans="1:8" x14ac:dyDescent="0.3">
      <c r="A258">
        <v>56</v>
      </c>
      <c r="B258" t="s">
        <v>10</v>
      </c>
      <c r="C258">
        <v>33.630000000000003</v>
      </c>
      <c r="D258" t="str">
        <f t="shared" si="4"/>
        <v>Obese</v>
      </c>
      <c r="E258">
        <v>0</v>
      </c>
      <c r="F258" t="s">
        <v>8</v>
      </c>
      <c r="G258" t="s">
        <v>13</v>
      </c>
      <c r="H258">
        <v>43921.183700000001</v>
      </c>
    </row>
    <row r="259" spans="1:8" x14ac:dyDescent="0.3">
      <c r="A259">
        <v>38</v>
      </c>
      <c r="B259" t="s">
        <v>7</v>
      </c>
      <c r="C259">
        <v>40.15</v>
      </c>
      <c r="D259" t="str">
        <f t="shared" si="4"/>
        <v>Obese</v>
      </c>
      <c r="E259">
        <v>0</v>
      </c>
      <c r="F259" t="s">
        <v>11</v>
      </c>
      <c r="G259" t="s">
        <v>12</v>
      </c>
      <c r="H259">
        <v>5400.9804999999997</v>
      </c>
    </row>
    <row r="260" spans="1:8" x14ac:dyDescent="0.3">
      <c r="A260">
        <v>51</v>
      </c>
      <c r="B260" t="s">
        <v>10</v>
      </c>
      <c r="C260">
        <v>24.414999999999999</v>
      </c>
      <c r="D260" t="str">
        <f t="shared" si="4"/>
        <v>Normal</v>
      </c>
      <c r="E260">
        <v>4</v>
      </c>
      <c r="F260" t="s">
        <v>11</v>
      </c>
      <c r="G260" t="s">
        <v>13</v>
      </c>
      <c r="H260">
        <v>11520.099850000001</v>
      </c>
    </row>
    <row r="261" spans="1:8" x14ac:dyDescent="0.3">
      <c r="A261">
        <v>19</v>
      </c>
      <c r="B261" t="s">
        <v>10</v>
      </c>
      <c r="C261">
        <v>31.92</v>
      </c>
      <c r="D261" t="str">
        <f t="shared" si="4"/>
        <v>Obese</v>
      </c>
      <c r="E261">
        <v>0</v>
      </c>
      <c r="F261" t="s">
        <v>8</v>
      </c>
      <c r="G261" t="s">
        <v>13</v>
      </c>
      <c r="H261">
        <v>33750.291799999999</v>
      </c>
    </row>
    <row r="262" spans="1:8" x14ac:dyDescent="0.3">
      <c r="A262">
        <v>58</v>
      </c>
      <c r="B262" t="s">
        <v>7</v>
      </c>
      <c r="C262">
        <v>25.2</v>
      </c>
      <c r="D262" t="str">
        <f t="shared" si="4"/>
        <v>Overweight</v>
      </c>
      <c r="E262">
        <v>0</v>
      </c>
      <c r="F262" t="s">
        <v>11</v>
      </c>
      <c r="G262" t="s">
        <v>9</v>
      </c>
      <c r="H262">
        <v>11837.16</v>
      </c>
    </row>
    <row r="263" spans="1:8" x14ac:dyDescent="0.3">
      <c r="A263">
        <v>20</v>
      </c>
      <c r="B263" t="s">
        <v>7</v>
      </c>
      <c r="C263">
        <v>26.84</v>
      </c>
      <c r="D263" t="str">
        <f t="shared" si="4"/>
        <v>Overweight</v>
      </c>
      <c r="E263">
        <v>1</v>
      </c>
      <c r="F263" t="s">
        <v>8</v>
      </c>
      <c r="G263" t="s">
        <v>12</v>
      </c>
      <c r="H263">
        <v>17085.267599999999</v>
      </c>
    </row>
    <row r="264" spans="1:8" x14ac:dyDescent="0.3">
      <c r="A264">
        <v>52</v>
      </c>
      <c r="B264" t="s">
        <v>10</v>
      </c>
      <c r="C264">
        <v>24.32</v>
      </c>
      <c r="D264" t="str">
        <f t="shared" si="4"/>
        <v>Normal</v>
      </c>
      <c r="E264">
        <v>3</v>
      </c>
      <c r="F264" t="s">
        <v>8</v>
      </c>
      <c r="G264" t="s">
        <v>14</v>
      </c>
      <c r="H264">
        <v>24869.836800000001</v>
      </c>
    </row>
    <row r="265" spans="1:8" x14ac:dyDescent="0.3">
      <c r="A265">
        <v>19</v>
      </c>
      <c r="B265" t="s">
        <v>10</v>
      </c>
      <c r="C265">
        <v>36.954999999999998</v>
      </c>
      <c r="D265" t="str">
        <f t="shared" si="4"/>
        <v>Obese</v>
      </c>
      <c r="E265">
        <v>0</v>
      </c>
      <c r="F265" t="s">
        <v>8</v>
      </c>
      <c r="G265" t="s">
        <v>13</v>
      </c>
      <c r="H265">
        <v>36219.405449999998</v>
      </c>
    </row>
    <row r="266" spans="1:8" x14ac:dyDescent="0.3">
      <c r="A266">
        <v>53</v>
      </c>
      <c r="B266" t="s">
        <v>7</v>
      </c>
      <c r="C266">
        <v>38.06</v>
      </c>
      <c r="D266" t="str">
        <f t="shared" si="4"/>
        <v>Obese</v>
      </c>
      <c r="E266">
        <v>3</v>
      </c>
      <c r="F266" t="s">
        <v>11</v>
      </c>
      <c r="G266" t="s">
        <v>12</v>
      </c>
      <c r="H266">
        <v>20462.997660000001</v>
      </c>
    </row>
    <row r="267" spans="1:8" x14ac:dyDescent="0.3">
      <c r="A267">
        <v>46</v>
      </c>
      <c r="B267" t="s">
        <v>10</v>
      </c>
      <c r="C267">
        <v>42.35</v>
      </c>
      <c r="D267" t="str">
        <f t="shared" si="4"/>
        <v>Obese</v>
      </c>
      <c r="E267">
        <v>3</v>
      </c>
      <c r="F267" t="s">
        <v>8</v>
      </c>
      <c r="G267" t="s">
        <v>12</v>
      </c>
      <c r="H267">
        <v>46151.124499999998</v>
      </c>
    </row>
    <row r="268" spans="1:8" x14ac:dyDescent="0.3">
      <c r="A268">
        <v>40</v>
      </c>
      <c r="B268" t="s">
        <v>10</v>
      </c>
      <c r="C268">
        <v>19.8</v>
      </c>
      <c r="D268" t="str">
        <f t="shared" si="4"/>
        <v>Normal</v>
      </c>
      <c r="E268">
        <v>1</v>
      </c>
      <c r="F268" t="s">
        <v>8</v>
      </c>
      <c r="G268" t="s">
        <v>12</v>
      </c>
      <c r="H268">
        <v>17179.522000000001</v>
      </c>
    </row>
    <row r="269" spans="1:8" x14ac:dyDescent="0.3">
      <c r="A269">
        <v>59</v>
      </c>
      <c r="B269" t="s">
        <v>7</v>
      </c>
      <c r="C269">
        <v>32.395000000000003</v>
      </c>
      <c r="D269" t="str">
        <f t="shared" si="4"/>
        <v>Obese</v>
      </c>
      <c r="E269">
        <v>3</v>
      </c>
      <c r="F269" t="s">
        <v>11</v>
      </c>
      <c r="G269" t="s">
        <v>14</v>
      </c>
      <c r="H269">
        <v>14590.63205</v>
      </c>
    </row>
    <row r="270" spans="1:8" x14ac:dyDescent="0.3">
      <c r="A270">
        <v>45</v>
      </c>
      <c r="B270" t="s">
        <v>10</v>
      </c>
      <c r="C270">
        <v>30.2</v>
      </c>
      <c r="D270" t="str">
        <f t="shared" si="4"/>
        <v>Obese</v>
      </c>
      <c r="E270">
        <v>1</v>
      </c>
      <c r="F270" t="s">
        <v>11</v>
      </c>
      <c r="G270" t="s">
        <v>9</v>
      </c>
      <c r="H270">
        <v>7441.0529999999999</v>
      </c>
    </row>
    <row r="271" spans="1:8" x14ac:dyDescent="0.3">
      <c r="A271">
        <v>49</v>
      </c>
      <c r="B271" t="s">
        <v>10</v>
      </c>
      <c r="C271">
        <v>25.84</v>
      </c>
      <c r="D271" t="str">
        <f t="shared" si="4"/>
        <v>Overweight</v>
      </c>
      <c r="E271">
        <v>1</v>
      </c>
      <c r="F271" t="s">
        <v>11</v>
      </c>
      <c r="G271" t="s">
        <v>14</v>
      </c>
      <c r="H271">
        <v>9282.4806000000008</v>
      </c>
    </row>
    <row r="272" spans="1:8" x14ac:dyDescent="0.3">
      <c r="A272">
        <v>18</v>
      </c>
      <c r="B272" t="s">
        <v>10</v>
      </c>
      <c r="C272">
        <v>29.37</v>
      </c>
      <c r="D272" t="str">
        <f t="shared" si="4"/>
        <v>Overweight</v>
      </c>
      <c r="E272">
        <v>1</v>
      </c>
      <c r="F272" t="s">
        <v>11</v>
      </c>
      <c r="G272" t="s">
        <v>12</v>
      </c>
      <c r="H272">
        <v>1719.4363000000001</v>
      </c>
    </row>
    <row r="273" spans="1:8" x14ac:dyDescent="0.3">
      <c r="A273">
        <v>50</v>
      </c>
      <c r="B273" t="s">
        <v>10</v>
      </c>
      <c r="C273">
        <v>34.200000000000003</v>
      </c>
      <c r="D273" t="str">
        <f t="shared" si="4"/>
        <v>Obese</v>
      </c>
      <c r="E273">
        <v>2</v>
      </c>
      <c r="F273" t="s">
        <v>8</v>
      </c>
      <c r="G273" t="s">
        <v>9</v>
      </c>
      <c r="H273">
        <v>42856.838000000003</v>
      </c>
    </row>
    <row r="274" spans="1:8" x14ac:dyDescent="0.3">
      <c r="A274">
        <v>41</v>
      </c>
      <c r="B274" t="s">
        <v>10</v>
      </c>
      <c r="C274">
        <v>37.049999999999997</v>
      </c>
      <c r="D274" t="str">
        <f t="shared" si="4"/>
        <v>Obese</v>
      </c>
      <c r="E274">
        <v>2</v>
      </c>
      <c r="F274" t="s">
        <v>11</v>
      </c>
      <c r="G274" t="s">
        <v>13</v>
      </c>
      <c r="H274">
        <v>7265.7025000000003</v>
      </c>
    </row>
    <row r="275" spans="1:8" x14ac:dyDescent="0.3">
      <c r="A275">
        <v>50</v>
      </c>
      <c r="B275" t="s">
        <v>10</v>
      </c>
      <c r="C275">
        <v>27.454999999999998</v>
      </c>
      <c r="D275" t="str">
        <f t="shared" si="4"/>
        <v>Overweight</v>
      </c>
      <c r="E275">
        <v>1</v>
      </c>
      <c r="F275" t="s">
        <v>11</v>
      </c>
      <c r="G275" t="s">
        <v>14</v>
      </c>
      <c r="H275">
        <v>9617.6624499999998</v>
      </c>
    </row>
    <row r="276" spans="1:8" x14ac:dyDescent="0.3">
      <c r="A276">
        <v>25</v>
      </c>
      <c r="B276" t="s">
        <v>10</v>
      </c>
      <c r="C276">
        <v>27.55</v>
      </c>
      <c r="D276" t="str">
        <f t="shared" si="4"/>
        <v>Overweight</v>
      </c>
      <c r="E276">
        <v>0</v>
      </c>
      <c r="F276" t="s">
        <v>11</v>
      </c>
      <c r="G276" t="s">
        <v>13</v>
      </c>
      <c r="H276">
        <v>2523.1695</v>
      </c>
    </row>
    <row r="277" spans="1:8" x14ac:dyDescent="0.3">
      <c r="A277">
        <v>47</v>
      </c>
      <c r="B277" t="s">
        <v>7</v>
      </c>
      <c r="C277">
        <v>26.6</v>
      </c>
      <c r="D277" t="str">
        <f t="shared" ref="D277:D340" si="5">IF(C277&lt;18.5,"Underweight",IF(C277&lt;24.9,"Normal",IF(C277&lt;30,"Overweight","Obese")))</f>
        <v>Overweight</v>
      </c>
      <c r="E277">
        <v>2</v>
      </c>
      <c r="F277" t="s">
        <v>11</v>
      </c>
      <c r="G277" t="s">
        <v>14</v>
      </c>
      <c r="H277">
        <v>9715.8410000000003</v>
      </c>
    </row>
    <row r="278" spans="1:8" x14ac:dyDescent="0.3">
      <c r="A278">
        <v>19</v>
      </c>
      <c r="B278" t="s">
        <v>10</v>
      </c>
      <c r="C278">
        <v>20.614999999999998</v>
      </c>
      <c r="D278" t="str">
        <f t="shared" si="5"/>
        <v>Normal</v>
      </c>
      <c r="E278">
        <v>2</v>
      </c>
      <c r="F278" t="s">
        <v>11</v>
      </c>
      <c r="G278" t="s">
        <v>13</v>
      </c>
      <c r="H278">
        <v>2803.69785</v>
      </c>
    </row>
    <row r="279" spans="1:8" x14ac:dyDescent="0.3">
      <c r="A279">
        <v>22</v>
      </c>
      <c r="B279" t="s">
        <v>7</v>
      </c>
      <c r="C279">
        <v>24.3</v>
      </c>
      <c r="D279" t="str">
        <f t="shared" si="5"/>
        <v>Normal</v>
      </c>
      <c r="E279">
        <v>0</v>
      </c>
      <c r="F279" t="s">
        <v>11</v>
      </c>
      <c r="G279" t="s">
        <v>9</v>
      </c>
      <c r="H279">
        <v>2150.4690000000001</v>
      </c>
    </row>
    <row r="280" spans="1:8" x14ac:dyDescent="0.3">
      <c r="A280">
        <v>59</v>
      </c>
      <c r="B280" t="s">
        <v>10</v>
      </c>
      <c r="C280">
        <v>31.79</v>
      </c>
      <c r="D280" t="str">
        <f t="shared" si="5"/>
        <v>Obese</v>
      </c>
      <c r="E280">
        <v>2</v>
      </c>
      <c r="F280" t="s">
        <v>11</v>
      </c>
      <c r="G280" t="s">
        <v>12</v>
      </c>
      <c r="H280">
        <v>12928.7911</v>
      </c>
    </row>
    <row r="281" spans="1:8" x14ac:dyDescent="0.3">
      <c r="A281">
        <v>51</v>
      </c>
      <c r="B281" t="s">
        <v>7</v>
      </c>
      <c r="C281">
        <v>21.56</v>
      </c>
      <c r="D281" t="str">
        <f t="shared" si="5"/>
        <v>Normal</v>
      </c>
      <c r="E281">
        <v>1</v>
      </c>
      <c r="F281" t="s">
        <v>11</v>
      </c>
      <c r="G281" t="s">
        <v>12</v>
      </c>
      <c r="H281">
        <v>9855.1314000000002</v>
      </c>
    </row>
    <row r="282" spans="1:8" x14ac:dyDescent="0.3">
      <c r="A282">
        <v>40</v>
      </c>
      <c r="B282" t="s">
        <v>7</v>
      </c>
      <c r="C282">
        <v>28.12</v>
      </c>
      <c r="D282" t="str">
        <f t="shared" si="5"/>
        <v>Overweight</v>
      </c>
      <c r="E282">
        <v>1</v>
      </c>
      <c r="F282" t="s">
        <v>8</v>
      </c>
      <c r="G282" t="s">
        <v>14</v>
      </c>
      <c r="H282">
        <v>22331.566800000001</v>
      </c>
    </row>
    <row r="283" spans="1:8" x14ac:dyDescent="0.3">
      <c r="A283">
        <v>54</v>
      </c>
      <c r="B283" t="s">
        <v>10</v>
      </c>
      <c r="C283">
        <v>40.564999999999998</v>
      </c>
      <c r="D283" t="str">
        <f t="shared" si="5"/>
        <v>Obese</v>
      </c>
      <c r="E283">
        <v>3</v>
      </c>
      <c r="F283" t="s">
        <v>8</v>
      </c>
      <c r="G283" t="s">
        <v>14</v>
      </c>
      <c r="H283">
        <v>48549.178350000002</v>
      </c>
    </row>
    <row r="284" spans="1:8" x14ac:dyDescent="0.3">
      <c r="A284">
        <v>30</v>
      </c>
      <c r="B284" t="s">
        <v>10</v>
      </c>
      <c r="C284">
        <v>27.645</v>
      </c>
      <c r="D284" t="str">
        <f t="shared" si="5"/>
        <v>Overweight</v>
      </c>
      <c r="E284">
        <v>1</v>
      </c>
      <c r="F284" t="s">
        <v>11</v>
      </c>
      <c r="G284" t="s">
        <v>14</v>
      </c>
      <c r="H284">
        <v>4237.12655</v>
      </c>
    </row>
    <row r="285" spans="1:8" x14ac:dyDescent="0.3">
      <c r="A285">
        <v>55</v>
      </c>
      <c r="B285" t="s">
        <v>7</v>
      </c>
      <c r="C285">
        <v>32.395000000000003</v>
      </c>
      <c r="D285" t="str">
        <f t="shared" si="5"/>
        <v>Obese</v>
      </c>
      <c r="E285">
        <v>1</v>
      </c>
      <c r="F285" t="s">
        <v>11</v>
      </c>
      <c r="G285" t="s">
        <v>14</v>
      </c>
      <c r="H285">
        <v>11879.10405</v>
      </c>
    </row>
    <row r="286" spans="1:8" x14ac:dyDescent="0.3">
      <c r="A286">
        <v>52</v>
      </c>
      <c r="B286" t="s">
        <v>7</v>
      </c>
      <c r="C286">
        <v>31.2</v>
      </c>
      <c r="D286" t="str">
        <f t="shared" si="5"/>
        <v>Obese</v>
      </c>
      <c r="E286">
        <v>0</v>
      </c>
      <c r="F286" t="s">
        <v>11</v>
      </c>
      <c r="G286" t="s">
        <v>9</v>
      </c>
      <c r="H286">
        <v>9625.92</v>
      </c>
    </row>
    <row r="287" spans="1:8" x14ac:dyDescent="0.3">
      <c r="A287">
        <v>46</v>
      </c>
      <c r="B287" t="s">
        <v>10</v>
      </c>
      <c r="C287">
        <v>26.62</v>
      </c>
      <c r="D287" t="str">
        <f t="shared" si="5"/>
        <v>Overweight</v>
      </c>
      <c r="E287">
        <v>1</v>
      </c>
      <c r="F287" t="s">
        <v>11</v>
      </c>
      <c r="G287" t="s">
        <v>12</v>
      </c>
      <c r="H287">
        <v>7742.1098000000002</v>
      </c>
    </row>
    <row r="288" spans="1:8" x14ac:dyDescent="0.3">
      <c r="A288">
        <v>46</v>
      </c>
      <c r="B288" t="s">
        <v>7</v>
      </c>
      <c r="C288">
        <v>48.07</v>
      </c>
      <c r="D288" t="str">
        <f t="shared" si="5"/>
        <v>Obese</v>
      </c>
      <c r="E288">
        <v>2</v>
      </c>
      <c r="F288" t="s">
        <v>11</v>
      </c>
      <c r="G288" t="s">
        <v>14</v>
      </c>
      <c r="H288">
        <v>9432.9253000000008</v>
      </c>
    </row>
    <row r="289" spans="1:8" x14ac:dyDescent="0.3">
      <c r="A289">
        <v>63</v>
      </c>
      <c r="B289" t="s">
        <v>7</v>
      </c>
      <c r="C289">
        <v>26.22</v>
      </c>
      <c r="D289" t="str">
        <f t="shared" si="5"/>
        <v>Overweight</v>
      </c>
      <c r="E289">
        <v>0</v>
      </c>
      <c r="F289" t="s">
        <v>11</v>
      </c>
      <c r="G289" t="s">
        <v>13</v>
      </c>
      <c r="H289">
        <v>14256.192800000001</v>
      </c>
    </row>
    <row r="290" spans="1:8" x14ac:dyDescent="0.3">
      <c r="A290">
        <v>59</v>
      </c>
      <c r="B290" t="s">
        <v>7</v>
      </c>
      <c r="C290">
        <v>36.765000000000001</v>
      </c>
      <c r="D290" t="str">
        <f t="shared" si="5"/>
        <v>Obese</v>
      </c>
      <c r="E290">
        <v>1</v>
      </c>
      <c r="F290" t="s">
        <v>8</v>
      </c>
      <c r="G290" t="s">
        <v>14</v>
      </c>
      <c r="H290">
        <v>47896.79135</v>
      </c>
    </row>
    <row r="291" spans="1:8" x14ac:dyDescent="0.3">
      <c r="A291">
        <v>52</v>
      </c>
      <c r="B291" t="s">
        <v>10</v>
      </c>
      <c r="C291">
        <v>26.4</v>
      </c>
      <c r="D291" t="str">
        <f t="shared" si="5"/>
        <v>Overweight</v>
      </c>
      <c r="E291">
        <v>3</v>
      </c>
      <c r="F291" t="s">
        <v>11</v>
      </c>
      <c r="G291" t="s">
        <v>12</v>
      </c>
      <c r="H291">
        <v>25992.821039999999</v>
      </c>
    </row>
    <row r="292" spans="1:8" x14ac:dyDescent="0.3">
      <c r="A292">
        <v>28</v>
      </c>
      <c r="B292" t="s">
        <v>7</v>
      </c>
      <c r="C292">
        <v>33.4</v>
      </c>
      <c r="D292" t="str">
        <f t="shared" si="5"/>
        <v>Obese</v>
      </c>
      <c r="E292">
        <v>0</v>
      </c>
      <c r="F292" t="s">
        <v>11</v>
      </c>
      <c r="G292" t="s">
        <v>9</v>
      </c>
      <c r="H292">
        <v>3172.018</v>
      </c>
    </row>
    <row r="293" spans="1:8" x14ac:dyDescent="0.3">
      <c r="A293">
        <v>29</v>
      </c>
      <c r="B293" t="s">
        <v>10</v>
      </c>
      <c r="C293">
        <v>29.64</v>
      </c>
      <c r="D293" t="str">
        <f t="shared" si="5"/>
        <v>Overweight</v>
      </c>
      <c r="E293">
        <v>1</v>
      </c>
      <c r="F293" t="s">
        <v>11</v>
      </c>
      <c r="G293" t="s">
        <v>14</v>
      </c>
      <c r="H293">
        <v>20277.807509999999</v>
      </c>
    </row>
    <row r="294" spans="1:8" x14ac:dyDescent="0.3">
      <c r="A294">
        <v>25</v>
      </c>
      <c r="B294" t="s">
        <v>10</v>
      </c>
      <c r="C294">
        <v>45.54</v>
      </c>
      <c r="D294" t="str">
        <f t="shared" si="5"/>
        <v>Obese</v>
      </c>
      <c r="E294">
        <v>2</v>
      </c>
      <c r="F294" t="s">
        <v>8</v>
      </c>
      <c r="G294" t="s">
        <v>12</v>
      </c>
      <c r="H294">
        <v>42112.2356</v>
      </c>
    </row>
    <row r="295" spans="1:8" x14ac:dyDescent="0.3">
      <c r="A295">
        <v>22</v>
      </c>
      <c r="B295" t="s">
        <v>7</v>
      </c>
      <c r="C295">
        <v>28.82</v>
      </c>
      <c r="D295" t="str">
        <f t="shared" si="5"/>
        <v>Overweight</v>
      </c>
      <c r="E295">
        <v>0</v>
      </c>
      <c r="F295" t="s">
        <v>11</v>
      </c>
      <c r="G295" t="s">
        <v>12</v>
      </c>
      <c r="H295">
        <v>2156.7518</v>
      </c>
    </row>
    <row r="296" spans="1:8" x14ac:dyDescent="0.3">
      <c r="A296">
        <v>25</v>
      </c>
      <c r="B296" t="s">
        <v>10</v>
      </c>
      <c r="C296">
        <v>26.8</v>
      </c>
      <c r="D296" t="str">
        <f t="shared" si="5"/>
        <v>Overweight</v>
      </c>
      <c r="E296">
        <v>3</v>
      </c>
      <c r="F296" t="s">
        <v>11</v>
      </c>
      <c r="G296" t="s">
        <v>9</v>
      </c>
      <c r="H296">
        <v>3906.127</v>
      </c>
    </row>
    <row r="297" spans="1:8" x14ac:dyDescent="0.3">
      <c r="A297">
        <v>18</v>
      </c>
      <c r="B297" t="s">
        <v>10</v>
      </c>
      <c r="C297">
        <v>22.99</v>
      </c>
      <c r="D297" t="str">
        <f t="shared" si="5"/>
        <v>Normal</v>
      </c>
      <c r="E297">
        <v>0</v>
      </c>
      <c r="F297" t="s">
        <v>11</v>
      </c>
      <c r="G297" t="s">
        <v>14</v>
      </c>
      <c r="H297">
        <v>1704.5681</v>
      </c>
    </row>
    <row r="298" spans="1:8" x14ac:dyDescent="0.3">
      <c r="A298">
        <v>19</v>
      </c>
      <c r="B298" t="s">
        <v>10</v>
      </c>
      <c r="C298">
        <v>27.7</v>
      </c>
      <c r="D298" t="str">
        <f t="shared" si="5"/>
        <v>Overweight</v>
      </c>
      <c r="E298">
        <v>0</v>
      </c>
      <c r="F298" t="s">
        <v>8</v>
      </c>
      <c r="G298" t="s">
        <v>9</v>
      </c>
      <c r="H298">
        <v>16297.846</v>
      </c>
    </row>
    <row r="299" spans="1:8" x14ac:dyDescent="0.3">
      <c r="A299">
        <v>47</v>
      </c>
      <c r="B299" t="s">
        <v>10</v>
      </c>
      <c r="C299">
        <v>25.41</v>
      </c>
      <c r="D299" t="str">
        <f t="shared" si="5"/>
        <v>Overweight</v>
      </c>
      <c r="E299">
        <v>1</v>
      </c>
      <c r="F299" t="s">
        <v>8</v>
      </c>
      <c r="G299" t="s">
        <v>12</v>
      </c>
      <c r="H299">
        <v>21978.676899999999</v>
      </c>
    </row>
    <row r="300" spans="1:8" x14ac:dyDescent="0.3">
      <c r="A300">
        <v>31</v>
      </c>
      <c r="B300" t="s">
        <v>10</v>
      </c>
      <c r="C300">
        <v>34.39</v>
      </c>
      <c r="D300" t="str">
        <f t="shared" si="5"/>
        <v>Obese</v>
      </c>
      <c r="E300">
        <v>3</v>
      </c>
      <c r="F300" t="s">
        <v>8</v>
      </c>
      <c r="G300" t="s">
        <v>13</v>
      </c>
      <c r="H300">
        <v>38746.355100000001</v>
      </c>
    </row>
    <row r="301" spans="1:8" x14ac:dyDescent="0.3">
      <c r="A301">
        <v>48</v>
      </c>
      <c r="B301" t="s">
        <v>7</v>
      </c>
      <c r="C301">
        <v>28.88</v>
      </c>
      <c r="D301" t="str">
        <f t="shared" si="5"/>
        <v>Overweight</v>
      </c>
      <c r="E301">
        <v>1</v>
      </c>
      <c r="F301" t="s">
        <v>11</v>
      </c>
      <c r="G301" t="s">
        <v>13</v>
      </c>
      <c r="H301">
        <v>9249.4951999999994</v>
      </c>
    </row>
    <row r="302" spans="1:8" x14ac:dyDescent="0.3">
      <c r="A302">
        <v>36</v>
      </c>
      <c r="B302" t="s">
        <v>10</v>
      </c>
      <c r="C302">
        <v>27.55</v>
      </c>
      <c r="D302" t="str">
        <f t="shared" si="5"/>
        <v>Overweight</v>
      </c>
      <c r="E302">
        <v>3</v>
      </c>
      <c r="F302" t="s">
        <v>11</v>
      </c>
      <c r="G302" t="s">
        <v>14</v>
      </c>
      <c r="H302">
        <v>6746.7425000000003</v>
      </c>
    </row>
    <row r="303" spans="1:8" x14ac:dyDescent="0.3">
      <c r="A303">
        <v>53</v>
      </c>
      <c r="B303" t="s">
        <v>7</v>
      </c>
      <c r="C303">
        <v>22.61</v>
      </c>
      <c r="D303" t="str">
        <f t="shared" si="5"/>
        <v>Normal</v>
      </c>
      <c r="E303">
        <v>3</v>
      </c>
      <c r="F303" t="s">
        <v>8</v>
      </c>
      <c r="G303" t="s">
        <v>14</v>
      </c>
      <c r="H303">
        <v>24873.384900000001</v>
      </c>
    </row>
    <row r="304" spans="1:8" x14ac:dyDescent="0.3">
      <c r="A304">
        <v>56</v>
      </c>
      <c r="B304" t="s">
        <v>7</v>
      </c>
      <c r="C304">
        <v>37.51</v>
      </c>
      <c r="D304" t="str">
        <f t="shared" si="5"/>
        <v>Obese</v>
      </c>
      <c r="E304">
        <v>2</v>
      </c>
      <c r="F304" t="s">
        <v>11</v>
      </c>
      <c r="G304" t="s">
        <v>12</v>
      </c>
      <c r="H304">
        <v>12265.5069</v>
      </c>
    </row>
    <row r="305" spans="1:8" x14ac:dyDescent="0.3">
      <c r="A305">
        <v>28</v>
      </c>
      <c r="B305" t="s">
        <v>7</v>
      </c>
      <c r="C305">
        <v>33</v>
      </c>
      <c r="D305" t="str">
        <f t="shared" si="5"/>
        <v>Obese</v>
      </c>
      <c r="E305">
        <v>2</v>
      </c>
      <c r="F305" t="s">
        <v>11</v>
      </c>
      <c r="G305" t="s">
        <v>12</v>
      </c>
      <c r="H305">
        <v>4349.4620000000004</v>
      </c>
    </row>
    <row r="306" spans="1:8" x14ac:dyDescent="0.3">
      <c r="A306">
        <v>57</v>
      </c>
      <c r="B306" t="s">
        <v>7</v>
      </c>
      <c r="C306">
        <v>38</v>
      </c>
      <c r="D306" t="str">
        <f t="shared" si="5"/>
        <v>Obese</v>
      </c>
      <c r="E306">
        <v>2</v>
      </c>
      <c r="F306" t="s">
        <v>11</v>
      </c>
      <c r="G306" t="s">
        <v>9</v>
      </c>
      <c r="H306">
        <v>12646.207</v>
      </c>
    </row>
    <row r="307" spans="1:8" x14ac:dyDescent="0.3">
      <c r="A307">
        <v>29</v>
      </c>
      <c r="B307" t="s">
        <v>10</v>
      </c>
      <c r="C307">
        <v>33.344999999999999</v>
      </c>
      <c r="D307" t="str">
        <f t="shared" si="5"/>
        <v>Obese</v>
      </c>
      <c r="E307">
        <v>2</v>
      </c>
      <c r="F307" t="s">
        <v>11</v>
      </c>
      <c r="G307" t="s">
        <v>13</v>
      </c>
      <c r="H307">
        <v>19442.353500000001</v>
      </c>
    </row>
    <row r="308" spans="1:8" x14ac:dyDescent="0.3">
      <c r="A308">
        <v>28</v>
      </c>
      <c r="B308" t="s">
        <v>7</v>
      </c>
      <c r="C308">
        <v>27.5</v>
      </c>
      <c r="D308" t="str">
        <f t="shared" si="5"/>
        <v>Overweight</v>
      </c>
      <c r="E308">
        <v>2</v>
      </c>
      <c r="F308" t="s">
        <v>11</v>
      </c>
      <c r="G308" t="s">
        <v>9</v>
      </c>
      <c r="H308">
        <v>20177.671129999999</v>
      </c>
    </row>
    <row r="309" spans="1:8" x14ac:dyDescent="0.3">
      <c r="A309">
        <v>30</v>
      </c>
      <c r="B309" t="s">
        <v>7</v>
      </c>
      <c r="C309">
        <v>33.33</v>
      </c>
      <c r="D309" t="str">
        <f t="shared" si="5"/>
        <v>Obese</v>
      </c>
      <c r="E309">
        <v>1</v>
      </c>
      <c r="F309" t="s">
        <v>11</v>
      </c>
      <c r="G309" t="s">
        <v>12</v>
      </c>
      <c r="H309">
        <v>4151.0286999999998</v>
      </c>
    </row>
    <row r="310" spans="1:8" x14ac:dyDescent="0.3">
      <c r="A310">
        <v>58</v>
      </c>
      <c r="B310" t="s">
        <v>10</v>
      </c>
      <c r="C310">
        <v>34.865000000000002</v>
      </c>
      <c r="D310" t="str">
        <f t="shared" si="5"/>
        <v>Obese</v>
      </c>
      <c r="E310">
        <v>0</v>
      </c>
      <c r="F310" t="s">
        <v>11</v>
      </c>
      <c r="G310" t="s">
        <v>14</v>
      </c>
      <c r="H310">
        <v>11944.594349999999</v>
      </c>
    </row>
    <row r="311" spans="1:8" x14ac:dyDescent="0.3">
      <c r="A311">
        <v>41</v>
      </c>
      <c r="B311" t="s">
        <v>7</v>
      </c>
      <c r="C311">
        <v>33.06</v>
      </c>
      <c r="D311" t="str">
        <f t="shared" si="5"/>
        <v>Obese</v>
      </c>
      <c r="E311">
        <v>2</v>
      </c>
      <c r="F311" t="s">
        <v>11</v>
      </c>
      <c r="G311" t="s">
        <v>13</v>
      </c>
      <c r="H311">
        <v>7749.1563999999998</v>
      </c>
    </row>
    <row r="312" spans="1:8" x14ac:dyDescent="0.3">
      <c r="A312">
        <v>50</v>
      </c>
      <c r="B312" t="s">
        <v>10</v>
      </c>
      <c r="C312">
        <v>26.6</v>
      </c>
      <c r="D312" t="str">
        <f t="shared" si="5"/>
        <v>Overweight</v>
      </c>
      <c r="E312">
        <v>0</v>
      </c>
      <c r="F312" t="s">
        <v>11</v>
      </c>
      <c r="G312" t="s">
        <v>9</v>
      </c>
      <c r="H312">
        <v>8444.4740000000002</v>
      </c>
    </row>
    <row r="313" spans="1:8" x14ac:dyDescent="0.3">
      <c r="A313">
        <v>19</v>
      </c>
      <c r="B313" t="s">
        <v>7</v>
      </c>
      <c r="C313">
        <v>24.7</v>
      </c>
      <c r="D313" t="str">
        <f t="shared" si="5"/>
        <v>Normal</v>
      </c>
      <c r="E313">
        <v>0</v>
      </c>
      <c r="F313" t="s">
        <v>11</v>
      </c>
      <c r="G313" t="s">
        <v>9</v>
      </c>
      <c r="H313">
        <v>1737.376</v>
      </c>
    </row>
    <row r="314" spans="1:8" x14ac:dyDescent="0.3">
      <c r="A314">
        <v>43</v>
      </c>
      <c r="B314" t="s">
        <v>10</v>
      </c>
      <c r="C314">
        <v>35.97</v>
      </c>
      <c r="D314" t="str">
        <f t="shared" si="5"/>
        <v>Obese</v>
      </c>
      <c r="E314">
        <v>3</v>
      </c>
      <c r="F314" t="s">
        <v>8</v>
      </c>
      <c r="G314" t="s">
        <v>12</v>
      </c>
      <c r="H314">
        <v>42124.515299999999</v>
      </c>
    </row>
    <row r="315" spans="1:8" x14ac:dyDescent="0.3">
      <c r="A315">
        <v>49</v>
      </c>
      <c r="B315" t="s">
        <v>10</v>
      </c>
      <c r="C315">
        <v>35.86</v>
      </c>
      <c r="D315" t="str">
        <f t="shared" si="5"/>
        <v>Obese</v>
      </c>
      <c r="E315">
        <v>0</v>
      </c>
      <c r="F315" t="s">
        <v>11</v>
      </c>
      <c r="G315" t="s">
        <v>12</v>
      </c>
      <c r="H315">
        <v>8124.4084000000003</v>
      </c>
    </row>
    <row r="316" spans="1:8" x14ac:dyDescent="0.3">
      <c r="A316">
        <v>27</v>
      </c>
      <c r="B316" t="s">
        <v>7</v>
      </c>
      <c r="C316">
        <v>31.4</v>
      </c>
      <c r="D316" t="str">
        <f t="shared" si="5"/>
        <v>Obese</v>
      </c>
      <c r="E316">
        <v>0</v>
      </c>
      <c r="F316" t="s">
        <v>8</v>
      </c>
      <c r="G316" t="s">
        <v>9</v>
      </c>
      <c r="H316">
        <v>34838.873</v>
      </c>
    </row>
    <row r="317" spans="1:8" x14ac:dyDescent="0.3">
      <c r="A317">
        <v>52</v>
      </c>
      <c r="B317" t="s">
        <v>10</v>
      </c>
      <c r="C317">
        <v>33.25</v>
      </c>
      <c r="D317" t="str">
        <f t="shared" si="5"/>
        <v>Obese</v>
      </c>
      <c r="E317">
        <v>0</v>
      </c>
      <c r="F317" t="s">
        <v>11</v>
      </c>
      <c r="G317" t="s">
        <v>14</v>
      </c>
      <c r="H317">
        <v>9722.7695000000003</v>
      </c>
    </row>
    <row r="318" spans="1:8" x14ac:dyDescent="0.3">
      <c r="A318">
        <v>50</v>
      </c>
      <c r="B318" t="s">
        <v>10</v>
      </c>
      <c r="C318">
        <v>32.204999999999998</v>
      </c>
      <c r="D318" t="str">
        <f t="shared" si="5"/>
        <v>Obese</v>
      </c>
      <c r="E318">
        <v>0</v>
      </c>
      <c r="F318" t="s">
        <v>11</v>
      </c>
      <c r="G318" t="s">
        <v>13</v>
      </c>
      <c r="H318">
        <v>8835.2649500000007</v>
      </c>
    </row>
    <row r="319" spans="1:8" x14ac:dyDescent="0.3">
      <c r="A319">
        <v>54</v>
      </c>
      <c r="B319" t="s">
        <v>10</v>
      </c>
      <c r="C319">
        <v>32.774999999999999</v>
      </c>
      <c r="D319" t="str">
        <f t="shared" si="5"/>
        <v>Obese</v>
      </c>
      <c r="E319">
        <v>0</v>
      </c>
      <c r="F319" t="s">
        <v>11</v>
      </c>
      <c r="G319" t="s">
        <v>14</v>
      </c>
      <c r="H319">
        <v>10435.06525</v>
      </c>
    </row>
    <row r="320" spans="1:8" x14ac:dyDescent="0.3">
      <c r="A320">
        <v>44</v>
      </c>
      <c r="B320" t="s">
        <v>7</v>
      </c>
      <c r="C320">
        <v>27.645</v>
      </c>
      <c r="D320" t="str">
        <f t="shared" si="5"/>
        <v>Overweight</v>
      </c>
      <c r="E320">
        <v>0</v>
      </c>
      <c r="F320" t="s">
        <v>11</v>
      </c>
      <c r="G320" t="s">
        <v>13</v>
      </c>
      <c r="H320">
        <v>7421.1945500000002</v>
      </c>
    </row>
    <row r="321" spans="1:8" x14ac:dyDescent="0.3">
      <c r="A321">
        <v>32</v>
      </c>
      <c r="B321" t="s">
        <v>10</v>
      </c>
      <c r="C321">
        <v>37.335000000000001</v>
      </c>
      <c r="D321" t="str">
        <f t="shared" si="5"/>
        <v>Obese</v>
      </c>
      <c r="E321">
        <v>1</v>
      </c>
      <c r="F321" t="s">
        <v>11</v>
      </c>
      <c r="G321" t="s">
        <v>14</v>
      </c>
      <c r="H321">
        <v>4667.6076499999999</v>
      </c>
    </row>
    <row r="322" spans="1:8" x14ac:dyDescent="0.3">
      <c r="A322">
        <v>34</v>
      </c>
      <c r="B322" t="s">
        <v>10</v>
      </c>
      <c r="C322">
        <v>25.27</v>
      </c>
      <c r="D322" t="str">
        <f t="shared" si="5"/>
        <v>Overweight</v>
      </c>
      <c r="E322">
        <v>1</v>
      </c>
      <c r="F322" t="s">
        <v>11</v>
      </c>
      <c r="G322" t="s">
        <v>13</v>
      </c>
      <c r="H322">
        <v>4894.7533000000003</v>
      </c>
    </row>
    <row r="323" spans="1:8" x14ac:dyDescent="0.3">
      <c r="A323">
        <v>26</v>
      </c>
      <c r="B323" t="s">
        <v>7</v>
      </c>
      <c r="C323">
        <v>29.64</v>
      </c>
      <c r="D323" t="str">
        <f t="shared" si="5"/>
        <v>Overweight</v>
      </c>
      <c r="E323">
        <v>4</v>
      </c>
      <c r="F323" t="s">
        <v>11</v>
      </c>
      <c r="G323" t="s">
        <v>14</v>
      </c>
      <c r="H323">
        <v>24671.663339999999</v>
      </c>
    </row>
    <row r="324" spans="1:8" x14ac:dyDescent="0.3">
      <c r="A324">
        <v>34</v>
      </c>
      <c r="B324" t="s">
        <v>10</v>
      </c>
      <c r="C324">
        <v>30.8</v>
      </c>
      <c r="D324" t="str">
        <f t="shared" si="5"/>
        <v>Obese</v>
      </c>
      <c r="E324">
        <v>0</v>
      </c>
      <c r="F324" t="s">
        <v>8</v>
      </c>
      <c r="G324" t="s">
        <v>9</v>
      </c>
      <c r="H324">
        <v>35491.64</v>
      </c>
    </row>
    <row r="325" spans="1:8" x14ac:dyDescent="0.3">
      <c r="A325">
        <v>57</v>
      </c>
      <c r="B325" t="s">
        <v>10</v>
      </c>
      <c r="C325">
        <v>40.945</v>
      </c>
      <c r="D325" t="str">
        <f t="shared" si="5"/>
        <v>Obese</v>
      </c>
      <c r="E325">
        <v>0</v>
      </c>
      <c r="F325" t="s">
        <v>11</v>
      </c>
      <c r="G325" t="s">
        <v>14</v>
      </c>
      <c r="H325">
        <v>11566.30055</v>
      </c>
    </row>
    <row r="326" spans="1:8" x14ac:dyDescent="0.3">
      <c r="A326">
        <v>29</v>
      </c>
      <c r="B326" t="s">
        <v>10</v>
      </c>
      <c r="C326">
        <v>27.2</v>
      </c>
      <c r="D326" t="str">
        <f t="shared" si="5"/>
        <v>Overweight</v>
      </c>
      <c r="E326">
        <v>0</v>
      </c>
      <c r="F326" t="s">
        <v>11</v>
      </c>
      <c r="G326" t="s">
        <v>9</v>
      </c>
      <c r="H326">
        <v>2866.0909999999999</v>
      </c>
    </row>
    <row r="327" spans="1:8" x14ac:dyDescent="0.3">
      <c r="A327">
        <v>40</v>
      </c>
      <c r="B327" t="s">
        <v>10</v>
      </c>
      <c r="C327">
        <v>34.104999999999997</v>
      </c>
      <c r="D327" t="str">
        <f t="shared" si="5"/>
        <v>Obese</v>
      </c>
      <c r="E327">
        <v>1</v>
      </c>
      <c r="F327" t="s">
        <v>11</v>
      </c>
      <c r="G327" t="s">
        <v>14</v>
      </c>
      <c r="H327">
        <v>6600.2059499999996</v>
      </c>
    </row>
    <row r="328" spans="1:8" x14ac:dyDescent="0.3">
      <c r="A328">
        <v>27</v>
      </c>
      <c r="B328" t="s">
        <v>7</v>
      </c>
      <c r="C328">
        <v>23.21</v>
      </c>
      <c r="D328" t="str">
        <f t="shared" si="5"/>
        <v>Normal</v>
      </c>
      <c r="E328">
        <v>1</v>
      </c>
      <c r="F328" t="s">
        <v>11</v>
      </c>
      <c r="G328" t="s">
        <v>12</v>
      </c>
      <c r="H328">
        <v>3561.8888999999999</v>
      </c>
    </row>
    <row r="329" spans="1:8" x14ac:dyDescent="0.3">
      <c r="A329">
        <v>45</v>
      </c>
      <c r="B329" t="s">
        <v>10</v>
      </c>
      <c r="C329">
        <v>36.479999999999997</v>
      </c>
      <c r="D329" t="str">
        <f t="shared" si="5"/>
        <v>Obese</v>
      </c>
      <c r="E329">
        <v>2</v>
      </c>
      <c r="F329" t="s">
        <v>8</v>
      </c>
      <c r="G329" t="s">
        <v>13</v>
      </c>
      <c r="H329">
        <v>42760.502200000003</v>
      </c>
    </row>
    <row r="330" spans="1:8" x14ac:dyDescent="0.3">
      <c r="A330">
        <v>64</v>
      </c>
      <c r="B330" t="s">
        <v>7</v>
      </c>
      <c r="C330">
        <v>33.799999999999997</v>
      </c>
      <c r="D330" t="str">
        <f t="shared" si="5"/>
        <v>Obese</v>
      </c>
      <c r="E330">
        <v>1</v>
      </c>
      <c r="F330" t="s">
        <v>8</v>
      </c>
      <c r="G330" t="s">
        <v>9</v>
      </c>
      <c r="H330">
        <v>47928.03</v>
      </c>
    </row>
    <row r="331" spans="1:8" x14ac:dyDescent="0.3">
      <c r="A331">
        <v>52</v>
      </c>
      <c r="B331" t="s">
        <v>10</v>
      </c>
      <c r="C331">
        <v>36.700000000000003</v>
      </c>
      <c r="D331" t="str">
        <f t="shared" si="5"/>
        <v>Obese</v>
      </c>
      <c r="E331">
        <v>0</v>
      </c>
      <c r="F331" t="s">
        <v>11</v>
      </c>
      <c r="G331" t="s">
        <v>9</v>
      </c>
      <c r="H331">
        <v>9144.5650000000005</v>
      </c>
    </row>
    <row r="332" spans="1:8" x14ac:dyDescent="0.3">
      <c r="A332">
        <v>61</v>
      </c>
      <c r="B332" t="s">
        <v>7</v>
      </c>
      <c r="C332">
        <v>36.384999999999998</v>
      </c>
      <c r="D332" t="str">
        <f t="shared" si="5"/>
        <v>Obese</v>
      </c>
      <c r="E332">
        <v>1</v>
      </c>
      <c r="F332" t="s">
        <v>8</v>
      </c>
      <c r="G332" t="s">
        <v>14</v>
      </c>
      <c r="H332">
        <v>48517.563150000002</v>
      </c>
    </row>
    <row r="333" spans="1:8" x14ac:dyDescent="0.3">
      <c r="A333">
        <v>52</v>
      </c>
      <c r="B333" t="s">
        <v>10</v>
      </c>
      <c r="C333">
        <v>27.36</v>
      </c>
      <c r="D333" t="str">
        <f t="shared" si="5"/>
        <v>Overweight</v>
      </c>
      <c r="E333">
        <v>0</v>
      </c>
      <c r="F333" t="s">
        <v>8</v>
      </c>
      <c r="G333" t="s">
        <v>13</v>
      </c>
      <c r="H333">
        <v>24393.6224</v>
      </c>
    </row>
    <row r="334" spans="1:8" x14ac:dyDescent="0.3">
      <c r="A334">
        <v>61</v>
      </c>
      <c r="B334" t="s">
        <v>7</v>
      </c>
      <c r="C334">
        <v>31.16</v>
      </c>
      <c r="D334" t="str">
        <f t="shared" si="5"/>
        <v>Obese</v>
      </c>
      <c r="E334">
        <v>0</v>
      </c>
      <c r="F334" t="s">
        <v>11</v>
      </c>
      <c r="G334" t="s">
        <v>13</v>
      </c>
      <c r="H334">
        <v>13429.035400000001</v>
      </c>
    </row>
    <row r="335" spans="1:8" x14ac:dyDescent="0.3">
      <c r="A335">
        <v>56</v>
      </c>
      <c r="B335" t="s">
        <v>7</v>
      </c>
      <c r="C335">
        <v>28.785</v>
      </c>
      <c r="D335" t="str">
        <f t="shared" si="5"/>
        <v>Overweight</v>
      </c>
      <c r="E335">
        <v>0</v>
      </c>
      <c r="F335" t="s">
        <v>11</v>
      </c>
      <c r="G335" t="s">
        <v>14</v>
      </c>
      <c r="H335">
        <v>11658.379150000001</v>
      </c>
    </row>
    <row r="336" spans="1:8" x14ac:dyDescent="0.3">
      <c r="A336">
        <v>43</v>
      </c>
      <c r="B336" t="s">
        <v>7</v>
      </c>
      <c r="C336">
        <v>35.72</v>
      </c>
      <c r="D336" t="str">
        <f t="shared" si="5"/>
        <v>Obese</v>
      </c>
      <c r="E336">
        <v>2</v>
      </c>
      <c r="F336" t="s">
        <v>11</v>
      </c>
      <c r="G336" t="s">
        <v>14</v>
      </c>
      <c r="H336">
        <v>19144.576519999999</v>
      </c>
    </row>
    <row r="337" spans="1:8" x14ac:dyDescent="0.3">
      <c r="A337">
        <v>64</v>
      </c>
      <c r="B337" t="s">
        <v>10</v>
      </c>
      <c r="C337">
        <v>34.5</v>
      </c>
      <c r="D337" t="str">
        <f t="shared" si="5"/>
        <v>Obese</v>
      </c>
      <c r="E337">
        <v>0</v>
      </c>
      <c r="F337" t="s">
        <v>11</v>
      </c>
      <c r="G337" t="s">
        <v>9</v>
      </c>
      <c r="H337">
        <v>13822.803</v>
      </c>
    </row>
    <row r="338" spans="1:8" x14ac:dyDescent="0.3">
      <c r="A338">
        <v>60</v>
      </c>
      <c r="B338" t="s">
        <v>10</v>
      </c>
      <c r="C338">
        <v>25.74</v>
      </c>
      <c r="D338" t="str">
        <f t="shared" si="5"/>
        <v>Overweight</v>
      </c>
      <c r="E338">
        <v>0</v>
      </c>
      <c r="F338" t="s">
        <v>11</v>
      </c>
      <c r="G338" t="s">
        <v>12</v>
      </c>
      <c r="H338">
        <v>12142.578600000001</v>
      </c>
    </row>
    <row r="339" spans="1:8" x14ac:dyDescent="0.3">
      <c r="A339">
        <v>62</v>
      </c>
      <c r="B339" t="s">
        <v>10</v>
      </c>
      <c r="C339">
        <v>27.55</v>
      </c>
      <c r="D339" t="str">
        <f t="shared" si="5"/>
        <v>Overweight</v>
      </c>
      <c r="E339">
        <v>1</v>
      </c>
      <c r="F339" t="s">
        <v>11</v>
      </c>
      <c r="G339" t="s">
        <v>13</v>
      </c>
      <c r="H339">
        <v>13937.666499999999</v>
      </c>
    </row>
    <row r="340" spans="1:8" x14ac:dyDescent="0.3">
      <c r="A340">
        <v>50</v>
      </c>
      <c r="B340" t="s">
        <v>10</v>
      </c>
      <c r="C340">
        <v>32.299999999999997</v>
      </c>
      <c r="D340" t="str">
        <f t="shared" si="5"/>
        <v>Obese</v>
      </c>
      <c r="E340">
        <v>1</v>
      </c>
      <c r="F340" t="s">
        <v>8</v>
      </c>
      <c r="G340" t="s">
        <v>14</v>
      </c>
      <c r="H340">
        <v>41919.097000000002</v>
      </c>
    </row>
    <row r="341" spans="1:8" x14ac:dyDescent="0.3">
      <c r="A341">
        <v>46</v>
      </c>
      <c r="B341" t="s">
        <v>7</v>
      </c>
      <c r="C341">
        <v>27.72</v>
      </c>
      <c r="D341" t="str">
        <f t="shared" ref="D341:D404" si="6">IF(C341&lt;18.5,"Underweight",IF(C341&lt;24.9,"Normal",IF(C341&lt;30,"Overweight","Obese")))</f>
        <v>Overweight</v>
      </c>
      <c r="E341">
        <v>1</v>
      </c>
      <c r="F341" t="s">
        <v>11</v>
      </c>
      <c r="G341" t="s">
        <v>12</v>
      </c>
      <c r="H341">
        <v>8232.6388000000006</v>
      </c>
    </row>
    <row r="342" spans="1:8" x14ac:dyDescent="0.3">
      <c r="A342">
        <v>24</v>
      </c>
      <c r="B342" t="s">
        <v>7</v>
      </c>
      <c r="C342">
        <v>27.6</v>
      </c>
      <c r="D342" t="str">
        <f t="shared" si="6"/>
        <v>Overweight</v>
      </c>
      <c r="E342">
        <v>0</v>
      </c>
      <c r="F342" t="s">
        <v>11</v>
      </c>
      <c r="G342" t="s">
        <v>9</v>
      </c>
      <c r="H342">
        <v>18955.220170000001</v>
      </c>
    </row>
    <row r="343" spans="1:8" x14ac:dyDescent="0.3">
      <c r="A343">
        <v>62</v>
      </c>
      <c r="B343" t="s">
        <v>10</v>
      </c>
      <c r="C343">
        <v>30.02</v>
      </c>
      <c r="D343" t="str">
        <f t="shared" si="6"/>
        <v>Obese</v>
      </c>
      <c r="E343">
        <v>0</v>
      </c>
      <c r="F343" t="s">
        <v>11</v>
      </c>
      <c r="G343" t="s">
        <v>13</v>
      </c>
      <c r="H343">
        <v>13352.0998</v>
      </c>
    </row>
    <row r="344" spans="1:8" x14ac:dyDescent="0.3">
      <c r="A344">
        <v>60</v>
      </c>
      <c r="B344" t="s">
        <v>7</v>
      </c>
      <c r="C344">
        <v>27.55</v>
      </c>
      <c r="D344" t="str">
        <f t="shared" si="6"/>
        <v>Overweight</v>
      </c>
      <c r="E344">
        <v>0</v>
      </c>
      <c r="F344" t="s">
        <v>11</v>
      </c>
      <c r="G344" t="s">
        <v>14</v>
      </c>
      <c r="H344">
        <v>13217.094499999999</v>
      </c>
    </row>
    <row r="345" spans="1:8" x14ac:dyDescent="0.3">
      <c r="A345">
        <v>63</v>
      </c>
      <c r="B345" t="s">
        <v>10</v>
      </c>
      <c r="C345">
        <v>36.765000000000001</v>
      </c>
      <c r="D345" t="str">
        <f t="shared" si="6"/>
        <v>Obese</v>
      </c>
      <c r="E345">
        <v>0</v>
      </c>
      <c r="F345" t="s">
        <v>11</v>
      </c>
      <c r="G345" t="s">
        <v>14</v>
      </c>
      <c r="H345">
        <v>13981.850350000001</v>
      </c>
    </row>
    <row r="346" spans="1:8" x14ac:dyDescent="0.3">
      <c r="A346">
        <v>49</v>
      </c>
      <c r="B346" t="s">
        <v>7</v>
      </c>
      <c r="C346">
        <v>41.47</v>
      </c>
      <c r="D346" t="str">
        <f t="shared" si="6"/>
        <v>Obese</v>
      </c>
      <c r="E346">
        <v>4</v>
      </c>
      <c r="F346" t="s">
        <v>11</v>
      </c>
      <c r="G346" t="s">
        <v>12</v>
      </c>
      <c r="H346">
        <v>10977.2063</v>
      </c>
    </row>
    <row r="347" spans="1:8" x14ac:dyDescent="0.3">
      <c r="A347">
        <v>34</v>
      </c>
      <c r="B347" t="s">
        <v>7</v>
      </c>
      <c r="C347">
        <v>29.26</v>
      </c>
      <c r="D347" t="str">
        <f t="shared" si="6"/>
        <v>Overweight</v>
      </c>
      <c r="E347">
        <v>3</v>
      </c>
      <c r="F347" t="s">
        <v>11</v>
      </c>
      <c r="G347" t="s">
        <v>12</v>
      </c>
      <c r="H347">
        <v>6184.2993999999999</v>
      </c>
    </row>
    <row r="348" spans="1:8" x14ac:dyDescent="0.3">
      <c r="A348">
        <v>33</v>
      </c>
      <c r="B348" t="s">
        <v>10</v>
      </c>
      <c r="C348">
        <v>35.75</v>
      </c>
      <c r="D348" t="str">
        <f t="shared" si="6"/>
        <v>Obese</v>
      </c>
      <c r="E348">
        <v>2</v>
      </c>
      <c r="F348" t="s">
        <v>11</v>
      </c>
      <c r="G348" t="s">
        <v>12</v>
      </c>
      <c r="H348">
        <v>4889.9994999999999</v>
      </c>
    </row>
    <row r="349" spans="1:8" x14ac:dyDescent="0.3">
      <c r="A349">
        <v>46</v>
      </c>
      <c r="B349" t="s">
        <v>10</v>
      </c>
      <c r="C349">
        <v>33.344999999999999</v>
      </c>
      <c r="D349" t="str">
        <f t="shared" si="6"/>
        <v>Obese</v>
      </c>
      <c r="E349">
        <v>1</v>
      </c>
      <c r="F349" t="s">
        <v>11</v>
      </c>
      <c r="G349" t="s">
        <v>14</v>
      </c>
      <c r="H349">
        <v>8334.4575499999992</v>
      </c>
    </row>
    <row r="350" spans="1:8" x14ac:dyDescent="0.3">
      <c r="A350">
        <v>36</v>
      </c>
      <c r="B350" t="s">
        <v>7</v>
      </c>
      <c r="C350">
        <v>29.92</v>
      </c>
      <c r="D350" t="str">
        <f t="shared" si="6"/>
        <v>Overweight</v>
      </c>
      <c r="E350">
        <v>1</v>
      </c>
      <c r="F350" t="s">
        <v>11</v>
      </c>
      <c r="G350" t="s">
        <v>12</v>
      </c>
      <c r="H350">
        <v>5478.0367999999999</v>
      </c>
    </row>
    <row r="351" spans="1:8" x14ac:dyDescent="0.3">
      <c r="A351">
        <v>19</v>
      </c>
      <c r="B351" t="s">
        <v>10</v>
      </c>
      <c r="C351">
        <v>27.835000000000001</v>
      </c>
      <c r="D351" t="str">
        <f t="shared" si="6"/>
        <v>Overweight</v>
      </c>
      <c r="E351">
        <v>0</v>
      </c>
      <c r="F351" t="s">
        <v>11</v>
      </c>
      <c r="G351" t="s">
        <v>13</v>
      </c>
      <c r="H351">
        <v>1635.7336499999999</v>
      </c>
    </row>
    <row r="352" spans="1:8" x14ac:dyDescent="0.3">
      <c r="A352">
        <v>57</v>
      </c>
      <c r="B352" t="s">
        <v>7</v>
      </c>
      <c r="C352">
        <v>23.18</v>
      </c>
      <c r="D352" t="str">
        <f t="shared" si="6"/>
        <v>Normal</v>
      </c>
      <c r="E352">
        <v>0</v>
      </c>
      <c r="F352" t="s">
        <v>11</v>
      </c>
      <c r="G352" t="s">
        <v>13</v>
      </c>
      <c r="H352">
        <v>11830.6072</v>
      </c>
    </row>
    <row r="353" spans="1:8" x14ac:dyDescent="0.3">
      <c r="A353">
        <v>50</v>
      </c>
      <c r="B353" t="s">
        <v>7</v>
      </c>
      <c r="C353">
        <v>25.6</v>
      </c>
      <c r="D353" t="str">
        <f t="shared" si="6"/>
        <v>Overweight</v>
      </c>
      <c r="E353">
        <v>0</v>
      </c>
      <c r="F353" t="s">
        <v>11</v>
      </c>
      <c r="G353" t="s">
        <v>9</v>
      </c>
      <c r="H353">
        <v>8932.0840000000007</v>
      </c>
    </row>
    <row r="354" spans="1:8" x14ac:dyDescent="0.3">
      <c r="A354">
        <v>30</v>
      </c>
      <c r="B354" t="s">
        <v>7</v>
      </c>
      <c r="C354">
        <v>27.7</v>
      </c>
      <c r="D354" t="str">
        <f t="shared" si="6"/>
        <v>Overweight</v>
      </c>
      <c r="E354">
        <v>0</v>
      </c>
      <c r="F354" t="s">
        <v>11</v>
      </c>
      <c r="G354" t="s">
        <v>9</v>
      </c>
      <c r="H354">
        <v>3554.203</v>
      </c>
    </row>
    <row r="355" spans="1:8" x14ac:dyDescent="0.3">
      <c r="A355">
        <v>33</v>
      </c>
      <c r="B355" t="s">
        <v>10</v>
      </c>
      <c r="C355">
        <v>35.244999999999997</v>
      </c>
      <c r="D355" t="str">
        <f t="shared" si="6"/>
        <v>Obese</v>
      </c>
      <c r="E355">
        <v>0</v>
      </c>
      <c r="F355" t="s">
        <v>11</v>
      </c>
      <c r="G355" t="s">
        <v>14</v>
      </c>
      <c r="H355">
        <v>12404.8791</v>
      </c>
    </row>
    <row r="356" spans="1:8" x14ac:dyDescent="0.3">
      <c r="A356">
        <v>18</v>
      </c>
      <c r="B356" t="s">
        <v>7</v>
      </c>
      <c r="C356">
        <v>38.28</v>
      </c>
      <c r="D356" t="str">
        <f t="shared" si="6"/>
        <v>Obese</v>
      </c>
      <c r="E356">
        <v>0</v>
      </c>
      <c r="F356" t="s">
        <v>11</v>
      </c>
      <c r="G356" t="s">
        <v>12</v>
      </c>
      <c r="H356">
        <v>14133.03775</v>
      </c>
    </row>
    <row r="357" spans="1:8" x14ac:dyDescent="0.3">
      <c r="A357">
        <v>46</v>
      </c>
      <c r="B357" t="s">
        <v>10</v>
      </c>
      <c r="C357">
        <v>27.6</v>
      </c>
      <c r="D357" t="str">
        <f t="shared" si="6"/>
        <v>Overweight</v>
      </c>
      <c r="E357">
        <v>0</v>
      </c>
      <c r="F357" t="s">
        <v>11</v>
      </c>
      <c r="G357" t="s">
        <v>9</v>
      </c>
      <c r="H357">
        <v>24603.04837</v>
      </c>
    </row>
    <row r="358" spans="1:8" x14ac:dyDescent="0.3">
      <c r="A358">
        <v>46</v>
      </c>
      <c r="B358" t="s">
        <v>10</v>
      </c>
      <c r="C358">
        <v>43.89</v>
      </c>
      <c r="D358" t="str">
        <f t="shared" si="6"/>
        <v>Obese</v>
      </c>
      <c r="E358">
        <v>3</v>
      </c>
      <c r="F358" t="s">
        <v>11</v>
      </c>
      <c r="G358" t="s">
        <v>12</v>
      </c>
      <c r="H358">
        <v>8944.1151000000009</v>
      </c>
    </row>
    <row r="359" spans="1:8" x14ac:dyDescent="0.3">
      <c r="A359">
        <v>47</v>
      </c>
      <c r="B359" t="s">
        <v>10</v>
      </c>
      <c r="C359">
        <v>29.83</v>
      </c>
      <c r="D359" t="str">
        <f t="shared" si="6"/>
        <v>Overweight</v>
      </c>
      <c r="E359">
        <v>3</v>
      </c>
      <c r="F359" t="s">
        <v>11</v>
      </c>
      <c r="G359" t="s">
        <v>13</v>
      </c>
      <c r="H359">
        <v>9620.3307000000004</v>
      </c>
    </row>
    <row r="360" spans="1:8" x14ac:dyDescent="0.3">
      <c r="A360">
        <v>23</v>
      </c>
      <c r="B360" t="s">
        <v>10</v>
      </c>
      <c r="C360">
        <v>41.91</v>
      </c>
      <c r="D360" t="str">
        <f t="shared" si="6"/>
        <v>Obese</v>
      </c>
      <c r="E360">
        <v>0</v>
      </c>
      <c r="F360" t="s">
        <v>11</v>
      </c>
      <c r="G360" t="s">
        <v>12</v>
      </c>
      <c r="H360">
        <v>1837.2819</v>
      </c>
    </row>
    <row r="361" spans="1:8" x14ac:dyDescent="0.3">
      <c r="A361">
        <v>18</v>
      </c>
      <c r="B361" t="s">
        <v>7</v>
      </c>
      <c r="C361">
        <v>20.79</v>
      </c>
      <c r="D361" t="str">
        <f t="shared" si="6"/>
        <v>Normal</v>
      </c>
      <c r="E361">
        <v>0</v>
      </c>
      <c r="F361" t="s">
        <v>11</v>
      </c>
      <c r="G361" t="s">
        <v>12</v>
      </c>
      <c r="H361">
        <v>1607.5101</v>
      </c>
    </row>
    <row r="362" spans="1:8" x14ac:dyDescent="0.3">
      <c r="A362">
        <v>48</v>
      </c>
      <c r="B362" t="s">
        <v>7</v>
      </c>
      <c r="C362">
        <v>32.299999999999997</v>
      </c>
      <c r="D362" t="str">
        <f t="shared" si="6"/>
        <v>Obese</v>
      </c>
      <c r="E362">
        <v>2</v>
      </c>
      <c r="F362" t="s">
        <v>11</v>
      </c>
      <c r="G362" t="s">
        <v>14</v>
      </c>
      <c r="H362">
        <v>10043.249</v>
      </c>
    </row>
    <row r="363" spans="1:8" x14ac:dyDescent="0.3">
      <c r="A363">
        <v>35</v>
      </c>
      <c r="B363" t="s">
        <v>10</v>
      </c>
      <c r="C363">
        <v>30.5</v>
      </c>
      <c r="D363" t="str">
        <f t="shared" si="6"/>
        <v>Obese</v>
      </c>
      <c r="E363">
        <v>1</v>
      </c>
      <c r="F363" t="s">
        <v>11</v>
      </c>
      <c r="G363" t="s">
        <v>9</v>
      </c>
      <c r="H363">
        <v>4751.07</v>
      </c>
    </row>
    <row r="364" spans="1:8" x14ac:dyDescent="0.3">
      <c r="A364">
        <v>19</v>
      </c>
      <c r="B364" t="s">
        <v>7</v>
      </c>
      <c r="C364">
        <v>21.7</v>
      </c>
      <c r="D364" t="str">
        <f t="shared" si="6"/>
        <v>Normal</v>
      </c>
      <c r="E364">
        <v>0</v>
      </c>
      <c r="F364" t="s">
        <v>8</v>
      </c>
      <c r="G364" t="s">
        <v>9</v>
      </c>
      <c r="H364">
        <v>13844.505999999999</v>
      </c>
    </row>
    <row r="365" spans="1:8" x14ac:dyDescent="0.3">
      <c r="A365">
        <v>21</v>
      </c>
      <c r="B365" t="s">
        <v>7</v>
      </c>
      <c r="C365">
        <v>26.4</v>
      </c>
      <c r="D365" t="str">
        <f t="shared" si="6"/>
        <v>Overweight</v>
      </c>
      <c r="E365">
        <v>1</v>
      </c>
      <c r="F365" t="s">
        <v>11</v>
      </c>
      <c r="G365" t="s">
        <v>9</v>
      </c>
      <c r="H365">
        <v>2597.779</v>
      </c>
    </row>
    <row r="366" spans="1:8" x14ac:dyDescent="0.3">
      <c r="A366">
        <v>21</v>
      </c>
      <c r="B366" t="s">
        <v>7</v>
      </c>
      <c r="C366">
        <v>21.89</v>
      </c>
      <c r="D366" t="str">
        <f t="shared" si="6"/>
        <v>Normal</v>
      </c>
      <c r="E366">
        <v>2</v>
      </c>
      <c r="F366" t="s">
        <v>11</v>
      </c>
      <c r="G366" t="s">
        <v>12</v>
      </c>
      <c r="H366">
        <v>3180.5101</v>
      </c>
    </row>
    <row r="367" spans="1:8" x14ac:dyDescent="0.3">
      <c r="A367">
        <v>49</v>
      </c>
      <c r="B367" t="s">
        <v>7</v>
      </c>
      <c r="C367">
        <v>30.78</v>
      </c>
      <c r="D367" t="str">
        <f t="shared" si="6"/>
        <v>Obese</v>
      </c>
      <c r="E367">
        <v>1</v>
      </c>
      <c r="F367" t="s">
        <v>11</v>
      </c>
      <c r="G367" t="s">
        <v>14</v>
      </c>
      <c r="H367">
        <v>9778.3472000000002</v>
      </c>
    </row>
    <row r="368" spans="1:8" x14ac:dyDescent="0.3">
      <c r="A368">
        <v>56</v>
      </c>
      <c r="B368" t="s">
        <v>7</v>
      </c>
      <c r="C368">
        <v>32.299999999999997</v>
      </c>
      <c r="D368" t="str">
        <f t="shared" si="6"/>
        <v>Obese</v>
      </c>
      <c r="E368">
        <v>3</v>
      </c>
      <c r="F368" t="s">
        <v>11</v>
      </c>
      <c r="G368" t="s">
        <v>14</v>
      </c>
      <c r="H368">
        <v>13430.264999999999</v>
      </c>
    </row>
    <row r="369" spans="1:8" x14ac:dyDescent="0.3">
      <c r="A369">
        <v>42</v>
      </c>
      <c r="B369" t="s">
        <v>7</v>
      </c>
      <c r="C369">
        <v>24.984999999999999</v>
      </c>
      <c r="D369" t="str">
        <f t="shared" si="6"/>
        <v>Overweight</v>
      </c>
      <c r="E369">
        <v>2</v>
      </c>
      <c r="F369" t="s">
        <v>11</v>
      </c>
      <c r="G369" t="s">
        <v>13</v>
      </c>
      <c r="H369">
        <v>8017.0611500000005</v>
      </c>
    </row>
    <row r="370" spans="1:8" x14ac:dyDescent="0.3">
      <c r="A370">
        <v>44</v>
      </c>
      <c r="B370" t="s">
        <v>10</v>
      </c>
      <c r="C370">
        <v>32.015000000000001</v>
      </c>
      <c r="D370" t="str">
        <f t="shared" si="6"/>
        <v>Obese</v>
      </c>
      <c r="E370">
        <v>2</v>
      </c>
      <c r="F370" t="s">
        <v>11</v>
      </c>
      <c r="G370" t="s">
        <v>13</v>
      </c>
      <c r="H370">
        <v>8116.2688500000004</v>
      </c>
    </row>
    <row r="371" spans="1:8" x14ac:dyDescent="0.3">
      <c r="A371">
        <v>18</v>
      </c>
      <c r="B371" t="s">
        <v>10</v>
      </c>
      <c r="C371">
        <v>30.4</v>
      </c>
      <c r="D371" t="str">
        <f t="shared" si="6"/>
        <v>Obese</v>
      </c>
      <c r="E371">
        <v>3</v>
      </c>
      <c r="F371" t="s">
        <v>11</v>
      </c>
      <c r="G371" t="s">
        <v>14</v>
      </c>
      <c r="H371">
        <v>3481.8679999999999</v>
      </c>
    </row>
    <row r="372" spans="1:8" x14ac:dyDescent="0.3">
      <c r="A372">
        <v>61</v>
      </c>
      <c r="B372" t="s">
        <v>7</v>
      </c>
      <c r="C372">
        <v>21.09</v>
      </c>
      <c r="D372" t="str">
        <f t="shared" si="6"/>
        <v>Normal</v>
      </c>
      <c r="E372">
        <v>0</v>
      </c>
      <c r="F372" t="s">
        <v>11</v>
      </c>
      <c r="G372" t="s">
        <v>13</v>
      </c>
      <c r="H372">
        <v>13415.0381</v>
      </c>
    </row>
    <row r="373" spans="1:8" x14ac:dyDescent="0.3">
      <c r="A373">
        <v>57</v>
      </c>
      <c r="B373" t="s">
        <v>7</v>
      </c>
      <c r="C373">
        <v>22.23</v>
      </c>
      <c r="D373" t="str">
        <f t="shared" si="6"/>
        <v>Normal</v>
      </c>
      <c r="E373">
        <v>0</v>
      </c>
      <c r="F373" t="s">
        <v>11</v>
      </c>
      <c r="G373" t="s">
        <v>14</v>
      </c>
      <c r="H373">
        <v>12029.286700000001</v>
      </c>
    </row>
    <row r="374" spans="1:8" x14ac:dyDescent="0.3">
      <c r="A374">
        <v>42</v>
      </c>
      <c r="B374" t="s">
        <v>7</v>
      </c>
      <c r="C374">
        <v>33.155000000000001</v>
      </c>
      <c r="D374" t="str">
        <f t="shared" si="6"/>
        <v>Obese</v>
      </c>
      <c r="E374">
        <v>1</v>
      </c>
      <c r="F374" t="s">
        <v>11</v>
      </c>
      <c r="G374" t="s">
        <v>14</v>
      </c>
      <c r="H374">
        <v>7639.4174499999999</v>
      </c>
    </row>
    <row r="375" spans="1:8" x14ac:dyDescent="0.3">
      <c r="A375">
        <v>26</v>
      </c>
      <c r="B375" t="s">
        <v>10</v>
      </c>
      <c r="C375">
        <v>32.9</v>
      </c>
      <c r="D375" t="str">
        <f t="shared" si="6"/>
        <v>Obese</v>
      </c>
      <c r="E375">
        <v>2</v>
      </c>
      <c r="F375" t="s">
        <v>8</v>
      </c>
      <c r="G375" t="s">
        <v>9</v>
      </c>
      <c r="H375">
        <v>36085.218999999997</v>
      </c>
    </row>
    <row r="376" spans="1:8" x14ac:dyDescent="0.3">
      <c r="A376">
        <v>20</v>
      </c>
      <c r="B376" t="s">
        <v>10</v>
      </c>
      <c r="C376">
        <v>33.33</v>
      </c>
      <c r="D376" t="str">
        <f t="shared" si="6"/>
        <v>Obese</v>
      </c>
      <c r="E376">
        <v>0</v>
      </c>
      <c r="F376" t="s">
        <v>11</v>
      </c>
      <c r="G376" t="s">
        <v>12</v>
      </c>
      <c r="H376">
        <v>1391.5287000000001</v>
      </c>
    </row>
    <row r="377" spans="1:8" x14ac:dyDescent="0.3">
      <c r="A377">
        <v>23</v>
      </c>
      <c r="B377" t="s">
        <v>7</v>
      </c>
      <c r="C377">
        <v>28.31</v>
      </c>
      <c r="D377" t="str">
        <f t="shared" si="6"/>
        <v>Overweight</v>
      </c>
      <c r="E377">
        <v>0</v>
      </c>
      <c r="F377" t="s">
        <v>8</v>
      </c>
      <c r="G377" t="s">
        <v>13</v>
      </c>
      <c r="H377">
        <v>18033.9679</v>
      </c>
    </row>
    <row r="378" spans="1:8" x14ac:dyDescent="0.3">
      <c r="A378">
        <v>39</v>
      </c>
      <c r="B378" t="s">
        <v>7</v>
      </c>
      <c r="C378">
        <v>24.89</v>
      </c>
      <c r="D378" t="str">
        <f t="shared" si="6"/>
        <v>Normal</v>
      </c>
      <c r="E378">
        <v>3</v>
      </c>
      <c r="F378" t="s">
        <v>8</v>
      </c>
      <c r="G378" t="s">
        <v>14</v>
      </c>
      <c r="H378">
        <v>21659.930100000001</v>
      </c>
    </row>
    <row r="379" spans="1:8" x14ac:dyDescent="0.3">
      <c r="A379">
        <v>24</v>
      </c>
      <c r="B379" t="s">
        <v>10</v>
      </c>
      <c r="C379">
        <v>40.15</v>
      </c>
      <c r="D379" t="str">
        <f t="shared" si="6"/>
        <v>Obese</v>
      </c>
      <c r="E379">
        <v>0</v>
      </c>
      <c r="F379" t="s">
        <v>8</v>
      </c>
      <c r="G379" t="s">
        <v>12</v>
      </c>
      <c r="H379">
        <v>38126.246500000001</v>
      </c>
    </row>
    <row r="380" spans="1:8" x14ac:dyDescent="0.3">
      <c r="A380">
        <v>64</v>
      </c>
      <c r="B380" t="s">
        <v>7</v>
      </c>
      <c r="C380">
        <v>30.114999999999998</v>
      </c>
      <c r="D380" t="str">
        <f t="shared" si="6"/>
        <v>Obese</v>
      </c>
      <c r="E380">
        <v>3</v>
      </c>
      <c r="F380" t="s">
        <v>11</v>
      </c>
      <c r="G380" t="s">
        <v>13</v>
      </c>
      <c r="H380">
        <v>16455.707849999999</v>
      </c>
    </row>
    <row r="381" spans="1:8" x14ac:dyDescent="0.3">
      <c r="A381">
        <v>62</v>
      </c>
      <c r="B381" t="s">
        <v>10</v>
      </c>
      <c r="C381">
        <v>31.46</v>
      </c>
      <c r="D381" t="str">
        <f t="shared" si="6"/>
        <v>Obese</v>
      </c>
      <c r="E381">
        <v>1</v>
      </c>
      <c r="F381" t="s">
        <v>11</v>
      </c>
      <c r="G381" t="s">
        <v>12</v>
      </c>
      <c r="H381">
        <v>27000.98473</v>
      </c>
    </row>
    <row r="382" spans="1:8" x14ac:dyDescent="0.3">
      <c r="A382">
        <v>27</v>
      </c>
      <c r="B382" t="s">
        <v>7</v>
      </c>
      <c r="C382">
        <v>17.954999999999998</v>
      </c>
      <c r="D382" t="str">
        <f t="shared" si="6"/>
        <v>Underweight</v>
      </c>
      <c r="E382">
        <v>2</v>
      </c>
      <c r="F382" t="s">
        <v>8</v>
      </c>
      <c r="G382" t="s">
        <v>14</v>
      </c>
      <c r="H382">
        <v>15006.579449999999</v>
      </c>
    </row>
    <row r="383" spans="1:8" x14ac:dyDescent="0.3">
      <c r="A383">
        <v>55</v>
      </c>
      <c r="B383" t="s">
        <v>10</v>
      </c>
      <c r="C383">
        <v>30.684999999999999</v>
      </c>
      <c r="D383" t="str">
        <f t="shared" si="6"/>
        <v>Obese</v>
      </c>
      <c r="E383">
        <v>0</v>
      </c>
      <c r="F383" t="s">
        <v>8</v>
      </c>
      <c r="G383" t="s">
        <v>14</v>
      </c>
      <c r="H383">
        <v>42303.692150000003</v>
      </c>
    </row>
    <row r="384" spans="1:8" x14ac:dyDescent="0.3">
      <c r="A384">
        <v>55</v>
      </c>
      <c r="B384" t="s">
        <v>10</v>
      </c>
      <c r="C384">
        <v>33</v>
      </c>
      <c r="D384" t="str">
        <f t="shared" si="6"/>
        <v>Obese</v>
      </c>
      <c r="E384">
        <v>0</v>
      </c>
      <c r="F384" t="s">
        <v>11</v>
      </c>
      <c r="G384" t="s">
        <v>12</v>
      </c>
      <c r="H384">
        <v>20781.48892</v>
      </c>
    </row>
    <row r="385" spans="1:8" x14ac:dyDescent="0.3">
      <c r="A385">
        <v>35</v>
      </c>
      <c r="B385" t="s">
        <v>7</v>
      </c>
      <c r="C385">
        <v>43.34</v>
      </c>
      <c r="D385" t="str">
        <f t="shared" si="6"/>
        <v>Obese</v>
      </c>
      <c r="E385">
        <v>2</v>
      </c>
      <c r="F385" t="s">
        <v>11</v>
      </c>
      <c r="G385" t="s">
        <v>12</v>
      </c>
      <c r="H385">
        <v>5846.9175999999998</v>
      </c>
    </row>
    <row r="386" spans="1:8" x14ac:dyDescent="0.3">
      <c r="A386">
        <v>44</v>
      </c>
      <c r="B386" t="s">
        <v>10</v>
      </c>
      <c r="C386">
        <v>22.135000000000002</v>
      </c>
      <c r="D386" t="str">
        <f t="shared" si="6"/>
        <v>Normal</v>
      </c>
      <c r="E386">
        <v>2</v>
      </c>
      <c r="F386" t="s">
        <v>11</v>
      </c>
      <c r="G386" t="s">
        <v>14</v>
      </c>
      <c r="H386">
        <v>8302.5356499999998</v>
      </c>
    </row>
    <row r="387" spans="1:8" x14ac:dyDescent="0.3">
      <c r="A387">
        <v>19</v>
      </c>
      <c r="B387" t="s">
        <v>10</v>
      </c>
      <c r="C387">
        <v>34.4</v>
      </c>
      <c r="D387" t="str">
        <f t="shared" si="6"/>
        <v>Obese</v>
      </c>
      <c r="E387">
        <v>0</v>
      </c>
      <c r="F387" t="s">
        <v>11</v>
      </c>
      <c r="G387" t="s">
        <v>9</v>
      </c>
      <c r="H387">
        <v>1261.8589999999999</v>
      </c>
    </row>
    <row r="388" spans="1:8" x14ac:dyDescent="0.3">
      <c r="A388">
        <v>58</v>
      </c>
      <c r="B388" t="s">
        <v>7</v>
      </c>
      <c r="C388">
        <v>39.049999999999997</v>
      </c>
      <c r="D388" t="str">
        <f t="shared" si="6"/>
        <v>Obese</v>
      </c>
      <c r="E388">
        <v>0</v>
      </c>
      <c r="F388" t="s">
        <v>11</v>
      </c>
      <c r="G388" t="s">
        <v>12</v>
      </c>
      <c r="H388">
        <v>11856.4115</v>
      </c>
    </row>
    <row r="389" spans="1:8" x14ac:dyDescent="0.3">
      <c r="A389">
        <v>50</v>
      </c>
      <c r="B389" t="s">
        <v>10</v>
      </c>
      <c r="C389">
        <v>25.364999999999998</v>
      </c>
      <c r="D389" t="str">
        <f t="shared" si="6"/>
        <v>Overweight</v>
      </c>
      <c r="E389">
        <v>2</v>
      </c>
      <c r="F389" t="s">
        <v>11</v>
      </c>
      <c r="G389" t="s">
        <v>13</v>
      </c>
      <c r="H389">
        <v>30284.642940000002</v>
      </c>
    </row>
    <row r="390" spans="1:8" x14ac:dyDescent="0.3">
      <c r="A390">
        <v>26</v>
      </c>
      <c r="B390" t="s">
        <v>7</v>
      </c>
      <c r="C390">
        <v>22.61</v>
      </c>
      <c r="D390" t="str">
        <f t="shared" si="6"/>
        <v>Normal</v>
      </c>
      <c r="E390">
        <v>0</v>
      </c>
      <c r="F390" t="s">
        <v>11</v>
      </c>
      <c r="G390" t="s">
        <v>13</v>
      </c>
      <c r="H390">
        <v>3176.8159000000001</v>
      </c>
    </row>
    <row r="391" spans="1:8" x14ac:dyDescent="0.3">
      <c r="A391">
        <v>24</v>
      </c>
      <c r="B391" t="s">
        <v>7</v>
      </c>
      <c r="C391">
        <v>30.21</v>
      </c>
      <c r="D391" t="str">
        <f t="shared" si="6"/>
        <v>Obese</v>
      </c>
      <c r="E391">
        <v>3</v>
      </c>
      <c r="F391" t="s">
        <v>11</v>
      </c>
      <c r="G391" t="s">
        <v>13</v>
      </c>
      <c r="H391">
        <v>4618.0798999999997</v>
      </c>
    </row>
    <row r="392" spans="1:8" x14ac:dyDescent="0.3">
      <c r="A392">
        <v>48</v>
      </c>
      <c r="B392" t="s">
        <v>10</v>
      </c>
      <c r="C392">
        <v>35.625</v>
      </c>
      <c r="D392" t="str">
        <f t="shared" si="6"/>
        <v>Obese</v>
      </c>
      <c r="E392">
        <v>4</v>
      </c>
      <c r="F392" t="s">
        <v>11</v>
      </c>
      <c r="G392" t="s">
        <v>14</v>
      </c>
      <c r="H392">
        <v>10736.87075</v>
      </c>
    </row>
    <row r="393" spans="1:8" x14ac:dyDescent="0.3">
      <c r="A393">
        <v>19</v>
      </c>
      <c r="B393" t="s">
        <v>7</v>
      </c>
      <c r="C393">
        <v>37.43</v>
      </c>
      <c r="D393" t="str">
        <f t="shared" si="6"/>
        <v>Obese</v>
      </c>
      <c r="E393">
        <v>0</v>
      </c>
      <c r="F393" t="s">
        <v>11</v>
      </c>
      <c r="G393" t="s">
        <v>13</v>
      </c>
      <c r="H393">
        <v>2138.0707000000002</v>
      </c>
    </row>
    <row r="394" spans="1:8" x14ac:dyDescent="0.3">
      <c r="A394">
        <v>48</v>
      </c>
      <c r="B394" t="s">
        <v>10</v>
      </c>
      <c r="C394">
        <v>31.445</v>
      </c>
      <c r="D394" t="str">
        <f t="shared" si="6"/>
        <v>Obese</v>
      </c>
      <c r="E394">
        <v>1</v>
      </c>
      <c r="F394" t="s">
        <v>11</v>
      </c>
      <c r="G394" t="s">
        <v>14</v>
      </c>
      <c r="H394">
        <v>8964.0605500000001</v>
      </c>
    </row>
    <row r="395" spans="1:8" x14ac:dyDescent="0.3">
      <c r="A395">
        <v>49</v>
      </c>
      <c r="B395" t="s">
        <v>10</v>
      </c>
      <c r="C395">
        <v>31.35</v>
      </c>
      <c r="D395" t="str">
        <f t="shared" si="6"/>
        <v>Obese</v>
      </c>
      <c r="E395">
        <v>1</v>
      </c>
      <c r="F395" t="s">
        <v>11</v>
      </c>
      <c r="G395" t="s">
        <v>14</v>
      </c>
      <c r="H395">
        <v>9290.1394999999993</v>
      </c>
    </row>
    <row r="396" spans="1:8" x14ac:dyDescent="0.3">
      <c r="A396">
        <v>46</v>
      </c>
      <c r="B396" t="s">
        <v>7</v>
      </c>
      <c r="C396">
        <v>32.299999999999997</v>
      </c>
      <c r="D396" t="str">
        <f t="shared" si="6"/>
        <v>Obese</v>
      </c>
      <c r="E396">
        <v>2</v>
      </c>
      <c r="F396" t="s">
        <v>11</v>
      </c>
      <c r="G396" t="s">
        <v>14</v>
      </c>
      <c r="H396">
        <v>9411.0049999999992</v>
      </c>
    </row>
    <row r="397" spans="1:8" x14ac:dyDescent="0.3">
      <c r="A397">
        <v>46</v>
      </c>
      <c r="B397" t="s">
        <v>10</v>
      </c>
      <c r="C397">
        <v>19.855</v>
      </c>
      <c r="D397" t="str">
        <f t="shared" si="6"/>
        <v>Normal</v>
      </c>
      <c r="E397">
        <v>0</v>
      </c>
      <c r="F397" t="s">
        <v>11</v>
      </c>
      <c r="G397" t="s">
        <v>13</v>
      </c>
      <c r="H397">
        <v>7526.7064499999997</v>
      </c>
    </row>
    <row r="398" spans="1:8" x14ac:dyDescent="0.3">
      <c r="A398">
        <v>43</v>
      </c>
      <c r="B398" t="s">
        <v>7</v>
      </c>
      <c r="C398">
        <v>34.4</v>
      </c>
      <c r="D398" t="str">
        <f t="shared" si="6"/>
        <v>Obese</v>
      </c>
      <c r="E398">
        <v>3</v>
      </c>
      <c r="F398" t="s">
        <v>11</v>
      </c>
      <c r="G398" t="s">
        <v>9</v>
      </c>
      <c r="H398">
        <v>8522.0030000000006</v>
      </c>
    </row>
    <row r="399" spans="1:8" x14ac:dyDescent="0.3">
      <c r="A399">
        <v>21</v>
      </c>
      <c r="B399" t="s">
        <v>10</v>
      </c>
      <c r="C399">
        <v>31.02</v>
      </c>
      <c r="D399" t="str">
        <f t="shared" si="6"/>
        <v>Obese</v>
      </c>
      <c r="E399">
        <v>0</v>
      </c>
      <c r="F399" t="s">
        <v>11</v>
      </c>
      <c r="G399" t="s">
        <v>12</v>
      </c>
      <c r="H399">
        <v>16586.49771</v>
      </c>
    </row>
    <row r="400" spans="1:8" x14ac:dyDescent="0.3">
      <c r="A400">
        <v>64</v>
      </c>
      <c r="B400" t="s">
        <v>10</v>
      </c>
      <c r="C400">
        <v>25.6</v>
      </c>
      <c r="D400" t="str">
        <f t="shared" si="6"/>
        <v>Overweight</v>
      </c>
      <c r="E400">
        <v>2</v>
      </c>
      <c r="F400" t="s">
        <v>11</v>
      </c>
      <c r="G400" t="s">
        <v>9</v>
      </c>
      <c r="H400">
        <v>14988.432000000001</v>
      </c>
    </row>
    <row r="401" spans="1:8" x14ac:dyDescent="0.3">
      <c r="A401">
        <v>18</v>
      </c>
      <c r="B401" t="s">
        <v>7</v>
      </c>
      <c r="C401">
        <v>38.17</v>
      </c>
      <c r="D401" t="str">
        <f t="shared" si="6"/>
        <v>Obese</v>
      </c>
      <c r="E401">
        <v>0</v>
      </c>
      <c r="F401" t="s">
        <v>11</v>
      </c>
      <c r="G401" t="s">
        <v>12</v>
      </c>
      <c r="H401">
        <v>1631.6683</v>
      </c>
    </row>
    <row r="402" spans="1:8" x14ac:dyDescent="0.3">
      <c r="A402">
        <v>51</v>
      </c>
      <c r="B402" t="s">
        <v>7</v>
      </c>
      <c r="C402">
        <v>20.6</v>
      </c>
      <c r="D402" t="str">
        <f t="shared" si="6"/>
        <v>Normal</v>
      </c>
      <c r="E402">
        <v>0</v>
      </c>
      <c r="F402" t="s">
        <v>11</v>
      </c>
      <c r="G402" t="s">
        <v>9</v>
      </c>
      <c r="H402">
        <v>9264.7970000000005</v>
      </c>
    </row>
    <row r="403" spans="1:8" x14ac:dyDescent="0.3">
      <c r="A403">
        <v>47</v>
      </c>
      <c r="B403" t="s">
        <v>10</v>
      </c>
      <c r="C403">
        <v>47.52</v>
      </c>
      <c r="D403" t="str">
        <f t="shared" si="6"/>
        <v>Obese</v>
      </c>
      <c r="E403">
        <v>1</v>
      </c>
      <c r="F403" t="s">
        <v>11</v>
      </c>
      <c r="G403" t="s">
        <v>12</v>
      </c>
      <c r="H403">
        <v>8083.9197999999997</v>
      </c>
    </row>
    <row r="404" spans="1:8" x14ac:dyDescent="0.3">
      <c r="A404">
        <v>64</v>
      </c>
      <c r="B404" t="s">
        <v>7</v>
      </c>
      <c r="C404">
        <v>32.965000000000003</v>
      </c>
      <c r="D404" t="str">
        <f t="shared" si="6"/>
        <v>Obese</v>
      </c>
      <c r="E404">
        <v>0</v>
      </c>
      <c r="F404" t="s">
        <v>11</v>
      </c>
      <c r="G404" t="s">
        <v>13</v>
      </c>
      <c r="H404">
        <v>14692.66935</v>
      </c>
    </row>
    <row r="405" spans="1:8" x14ac:dyDescent="0.3">
      <c r="A405">
        <v>49</v>
      </c>
      <c r="B405" t="s">
        <v>10</v>
      </c>
      <c r="C405">
        <v>32.299999999999997</v>
      </c>
      <c r="D405" t="str">
        <f t="shared" ref="D405:D468" si="7">IF(C405&lt;18.5,"Underweight",IF(C405&lt;24.9,"Normal",IF(C405&lt;30,"Overweight","Obese")))</f>
        <v>Obese</v>
      </c>
      <c r="E405">
        <v>3</v>
      </c>
      <c r="F405" t="s">
        <v>11</v>
      </c>
      <c r="G405" t="s">
        <v>13</v>
      </c>
      <c r="H405">
        <v>10269.459999999999</v>
      </c>
    </row>
    <row r="406" spans="1:8" x14ac:dyDescent="0.3">
      <c r="A406">
        <v>31</v>
      </c>
      <c r="B406" t="s">
        <v>10</v>
      </c>
      <c r="C406">
        <v>20.399999999999999</v>
      </c>
      <c r="D406" t="str">
        <f t="shared" si="7"/>
        <v>Normal</v>
      </c>
      <c r="E406">
        <v>0</v>
      </c>
      <c r="F406" t="s">
        <v>11</v>
      </c>
      <c r="G406" t="s">
        <v>9</v>
      </c>
      <c r="H406">
        <v>3260.1990000000001</v>
      </c>
    </row>
    <row r="407" spans="1:8" x14ac:dyDescent="0.3">
      <c r="A407">
        <v>52</v>
      </c>
      <c r="B407" t="s">
        <v>7</v>
      </c>
      <c r="C407">
        <v>38.380000000000003</v>
      </c>
      <c r="D407" t="str">
        <f t="shared" si="7"/>
        <v>Obese</v>
      </c>
      <c r="E407">
        <v>2</v>
      </c>
      <c r="F407" t="s">
        <v>11</v>
      </c>
      <c r="G407" t="s">
        <v>14</v>
      </c>
      <c r="H407">
        <v>11396.9002</v>
      </c>
    </row>
    <row r="408" spans="1:8" x14ac:dyDescent="0.3">
      <c r="A408">
        <v>33</v>
      </c>
      <c r="B408" t="s">
        <v>7</v>
      </c>
      <c r="C408">
        <v>24.31</v>
      </c>
      <c r="D408" t="str">
        <f t="shared" si="7"/>
        <v>Normal</v>
      </c>
      <c r="E408">
        <v>0</v>
      </c>
      <c r="F408" t="s">
        <v>11</v>
      </c>
      <c r="G408" t="s">
        <v>12</v>
      </c>
      <c r="H408">
        <v>4185.0978999999998</v>
      </c>
    </row>
    <row r="409" spans="1:8" x14ac:dyDescent="0.3">
      <c r="A409">
        <v>47</v>
      </c>
      <c r="B409" t="s">
        <v>7</v>
      </c>
      <c r="C409">
        <v>23.6</v>
      </c>
      <c r="D409" t="str">
        <f t="shared" si="7"/>
        <v>Normal</v>
      </c>
      <c r="E409">
        <v>1</v>
      </c>
      <c r="F409" t="s">
        <v>11</v>
      </c>
      <c r="G409" t="s">
        <v>9</v>
      </c>
      <c r="H409">
        <v>8539.6710000000003</v>
      </c>
    </row>
    <row r="410" spans="1:8" x14ac:dyDescent="0.3">
      <c r="A410">
        <v>38</v>
      </c>
      <c r="B410" t="s">
        <v>10</v>
      </c>
      <c r="C410">
        <v>21.12</v>
      </c>
      <c r="D410" t="str">
        <f t="shared" si="7"/>
        <v>Normal</v>
      </c>
      <c r="E410">
        <v>3</v>
      </c>
      <c r="F410" t="s">
        <v>11</v>
      </c>
      <c r="G410" t="s">
        <v>12</v>
      </c>
      <c r="H410">
        <v>6652.5288</v>
      </c>
    </row>
    <row r="411" spans="1:8" x14ac:dyDescent="0.3">
      <c r="A411">
        <v>32</v>
      </c>
      <c r="B411" t="s">
        <v>10</v>
      </c>
      <c r="C411">
        <v>30.03</v>
      </c>
      <c r="D411" t="str">
        <f t="shared" si="7"/>
        <v>Obese</v>
      </c>
      <c r="E411">
        <v>1</v>
      </c>
      <c r="F411" t="s">
        <v>11</v>
      </c>
      <c r="G411" t="s">
        <v>12</v>
      </c>
      <c r="H411">
        <v>4074.4537</v>
      </c>
    </row>
    <row r="412" spans="1:8" x14ac:dyDescent="0.3">
      <c r="A412">
        <v>19</v>
      </c>
      <c r="B412" t="s">
        <v>10</v>
      </c>
      <c r="C412">
        <v>17.48</v>
      </c>
      <c r="D412" t="str">
        <f t="shared" si="7"/>
        <v>Underweight</v>
      </c>
      <c r="E412">
        <v>0</v>
      </c>
      <c r="F412" t="s">
        <v>11</v>
      </c>
      <c r="G412" t="s">
        <v>13</v>
      </c>
      <c r="H412">
        <v>1621.3402000000001</v>
      </c>
    </row>
    <row r="413" spans="1:8" x14ac:dyDescent="0.3">
      <c r="A413">
        <v>44</v>
      </c>
      <c r="B413" t="s">
        <v>7</v>
      </c>
      <c r="C413">
        <v>20.234999999999999</v>
      </c>
      <c r="D413" t="str">
        <f t="shared" si="7"/>
        <v>Normal</v>
      </c>
      <c r="E413">
        <v>1</v>
      </c>
      <c r="F413" t="s">
        <v>8</v>
      </c>
      <c r="G413" t="s">
        <v>14</v>
      </c>
      <c r="H413">
        <v>19594.809649999999</v>
      </c>
    </row>
    <row r="414" spans="1:8" x14ac:dyDescent="0.3">
      <c r="A414">
        <v>26</v>
      </c>
      <c r="B414" t="s">
        <v>7</v>
      </c>
      <c r="C414">
        <v>17.195</v>
      </c>
      <c r="D414" t="str">
        <f t="shared" si="7"/>
        <v>Underweight</v>
      </c>
      <c r="E414">
        <v>2</v>
      </c>
      <c r="F414" t="s">
        <v>8</v>
      </c>
      <c r="G414" t="s">
        <v>14</v>
      </c>
      <c r="H414">
        <v>14455.644050000001</v>
      </c>
    </row>
    <row r="415" spans="1:8" x14ac:dyDescent="0.3">
      <c r="A415">
        <v>25</v>
      </c>
      <c r="B415" t="s">
        <v>10</v>
      </c>
      <c r="C415">
        <v>23.9</v>
      </c>
      <c r="D415" t="str">
        <f t="shared" si="7"/>
        <v>Normal</v>
      </c>
      <c r="E415">
        <v>5</v>
      </c>
      <c r="F415" t="s">
        <v>11</v>
      </c>
      <c r="G415" t="s">
        <v>9</v>
      </c>
      <c r="H415">
        <v>5080.0959999999995</v>
      </c>
    </row>
    <row r="416" spans="1:8" x14ac:dyDescent="0.3">
      <c r="A416">
        <v>19</v>
      </c>
      <c r="B416" t="s">
        <v>7</v>
      </c>
      <c r="C416">
        <v>35.15</v>
      </c>
      <c r="D416" t="str">
        <f t="shared" si="7"/>
        <v>Obese</v>
      </c>
      <c r="E416">
        <v>0</v>
      </c>
      <c r="F416" t="s">
        <v>11</v>
      </c>
      <c r="G416" t="s">
        <v>13</v>
      </c>
      <c r="H416">
        <v>2134.9014999999999</v>
      </c>
    </row>
    <row r="417" spans="1:8" x14ac:dyDescent="0.3">
      <c r="A417">
        <v>43</v>
      </c>
      <c r="B417" t="s">
        <v>7</v>
      </c>
      <c r="C417">
        <v>35.64</v>
      </c>
      <c r="D417" t="str">
        <f t="shared" si="7"/>
        <v>Obese</v>
      </c>
      <c r="E417">
        <v>1</v>
      </c>
      <c r="F417" t="s">
        <v>11</v>
      </c>
      <c r="G417" t="s">
        <v>12</v>
      </c>
      <c r="H417">
        <v>7345.7266</v>
      </c>
    </row>
    <row r="418" spans="1:8" x14ac:dyDescent="0.3">
      <c r="A418">
        <v>52</v>
      </c>
      <c r="B418" t="s">
        <v>10</v>
      </c>
      <c r="C418">
        <v>34.1</v>
      </c>
      <c r="D418" t="str">
        <f t="shared" si="7"/>
        <v>Obese</v>
      </c>
      <c r="E418">
        <v>0</v>
      </c>
      <c r="F418" t="s">
        <v>11</v>
      </c>
      <c r="G418" t="s">
        <v>12</v>
      </c>
      <c r="H418">
        <v>9140.9509999999991</v>
      </c>
    </row>
    <row r="419" spans="1:8" x14ac:dyDescent="0.3">
      <c r="A419">
        <v>36</v>
      </c>
      <c r="B419" t="s">
        <v>7</v>
      </c>
      <c r="C419">
        <v>22.6</v>
      </c>
      <c r="D419" t="str">
        <f t="shared" si="7"/>
        <v>Normal</v>
      </c>
      <c r="E419">
        <v>2</v>
      </c>
      <c r="F419" t="s">
        <v>8</v>
      </c>
      <c r="G419" t="s">
        <v>9</v>
      </c>
      <c r="H419">
        <v>18608.261999999999</v>
      </c>
    </row>
    <row r="420" spans="1:8" x14ac:dyDescent="0.3">
      <c r="A420">
        <v>64</v>
      </c>
      <c r="B420" t="s">
        <v>10</v>
      </c>
      <c r="C420">
        <v>39.159999999999997</v>
      </c>
      <c r="D420" t="str">
        <f t="shared" si="7"/>
        <v>Obese</v>
      </c>
      <c r="E420">
        <v>1</v>
      </c>
      <c r="F420" t="s">
        <v>11</v>
      </c>
      <c r="G420" t="s">
        <v>12</v>
      </c>
      <c r="H420">
        <v>14418.2804</v>
      </c>
    </row>
    <row r="421" spans="1:8" x14ac:dyDescent="0.3">
      <c r="A421">
        <v>63</v>
      </c>
      <c r="B421" t="s">
        <v>7</v>
      </c>
      <c r="C421">
        <v>26.98</v>
      </c>
      <c r="D421" t="str">
        <f t="shared" si="7"/>
        <v>Overweight</v>
      </c>
      <c r="E421">
        <v>0</v>
      </c>
      <c r="F421" t="s">
        <v>8</v>
      </c>
      <c r="G421" t="s">
        <v>13</v>
      </c>
      <c r="H421">
        <v>28950.4692</v>
      </c>
    </row>
    <row r="422" spans="1:8" x14ac:dyDescent="0.3">
      <c r="A422">
        <v>64</v>
      </c>
      <c r="B422" t="s">
        <v>10</v>
      </c>
      <c r="C422">
        <v>33.880000000000003</v>
      </c>
      <c r="D422" t="str">
        <f t="shared" si="7"/>
        <v>Obese</v>
      </c>
      <c r="E422">
        <v>0</v>
      </c>
      <c r="F422" t="s">
        <v>8</v>
      </c>
      <c r="G422" t="s">
        <v>12</v>
      </c>
      <c r="H422">
        <v>46889.261200000001</v>
      </c>
    </row>
    <row r="423" spans="1:8" x14ac:dyDescent="0.3">
      <c r="A423">
        <v>61</v>
      </c>
      <c r="B423" t="s">
        <v>10</v>
      </c>
      <c r="C423">
        <v>35.86</v>
      </c>
      <c r="D423" t="str">
        <f t="shared" si="7"/>
        <v>Obese</v>
      </c>
      <c r="E423">
        <v>0</v>
      </c>
      <c r="F423" t="s">
        <v>8</v>
      </c>
      <c r="G423" t="s">
        <v>12</v>
      </c>
      <c r="H423">
        <v>46599.108399999997</v>
      </c>
    </row>
    <row r="424" spans="1:8" x14ac:dyDescent="0.3">
      <c r="A424">
        <v>40</v>
      </c>
      <c r="B424" t="s">
        <v>10</v>
      </c>
      <c r="C424">
        <v>32.774999999999999</v>
      </c>
      <c r="D424" t="str">
        <f t="shared" si="7"/>
        <v>Obese</v>
      </c>
      <c r="E424">
        <v>1</v>
      </c>
      <c r="F424" t="s">
        <v>8</v>
      </c>
      <c r="G424" t="s">
        <v>14</v>
      </c>
      <c r="H424">
        <v>39125.332249999999</v>
      </c>
    </row>
    <row r="425" spans="1:8" x14ac:dyDescent="0.3">
      <c r="A425">
        <v>25</v>
      </c>
      <c r="B425" t="s">
        <v>10</v>
      </c>
      <c r="C425">
        <v>30.59</v>
      </c>
      <c r="D425" t="str">
        <f t="shared" si="7"/>
        <v>Obese</v>
      </c>
      <c r="E425">
        <v>0</v>
      </c>
      <c r="F425" t="s">
        <v>11</v>
      </c>
      <c r="G425" t="s">
        <v>14</v>
      </c>
      <c r="H425">
        <v>2727.3951000000002</v>
      </c>
    </row>
    <row r="426" spans="1:8" x14ac:dyDescent="0.3">
      <c r="A426">
        <v>48</v>
      </c>
      <c r="B426" t="s">
        <v>10</v>
      </c>
      <c r="C426">
        <v>30.2</v>
      </c>
      <c r="D426" t="str">
        <f t="shared" si="7"/>
        <v>Obese</v>
      </c>
      <c r="E426">
        <v>2</v>
      </c>
      <c r="F426" t="s">
        <v>11</v>
      </c>
      <c r="G426" t="s">
        <v>9</v>
      </c>
      <c r="H426">
        <v>8968.33</v>
      </c>
    </row>
    <row r="427" spans="1:8" x14ac:dyDescent="0.3">
      <c r="A427">
        <v>45</v>
      </c>
      <c r="B427" t="s">
        <v>10</v>
      </c>
      <c r="C427">
        <v>24.31</v>
      </c>
      <c r="D427" t="str">
        <f t="shared" si="7"/>
        <v>Normal</v>
      </c>
      <c r="E427">
        <v>5</v>
      </c>
      <c r="F427" t="s">
        <v>11</v>
      </c>
      <c r="G427" t="s">
        <v>12</v>
      </c>
      <c r="H427">
        <v>9788.8659000000007</v>
      </c>
    </row>
    <row r="428" spans="1:8" x14ac:dyDescent="0.3">
      <c r="A428">
        <v>38</v>
      </c>
      <c r="B428" t="s">
        <v>7</v>
      </c>
      <c r="C428">
        <v>27.265000000000001</v>
      </c>
      <c r="D428" t="str">
        <f t="shared" si="7"/>
        <v>Overweight</v>
      </c>
      <c r="E428">
        <v>1</v>
      </c>
      <c r="F428" t="s">
        <v>11</v>
      </c>
      <c r="G428" t="s">
        <v>14</v>
      </c>
      <c r="H428">
        <v>6555.07035</v>
      </c>
    </row>
    <row r="429" spans="1:8" x14ac:dyDescent="0.3">
      <c r="A429">
        <v>18</v>
      </c>
      <c r="B429" t="s">
        <v>7</v>
      </c>
      <c r="C429">
        <v>29.164999999999999</v>
      </c>
      <c r="D429" t="str">
        <f t="shared" si="7"/>
        <v>Overweight</v>
      </c>
      <c r="E429">
        <v>0</v>
      </c>
      <c r="F429" t="s">
        <v>11</v>
      </c>
      <c r="G429" t="s">
        <v>14</v>
      </c>
      <c r="H429">
        <v>7323.7348190000002</v>
      </c>
    </row>
    <row r="430" spans="1:8" x14ac:dyDescent="0.3">
      <c r="A430">
        <v>21</v>
      </c>
      <c r="B430" t="s">
        <v>7</v>
      </c>
      <c r="C430">
        <v>16.815000000000001</v>
      </c>
      <c r="D430" t="str">
        <f t="shared" si="7"/>
        <v>Underweight</v>
      </c>
      <c r="E430">
        <v>1</v>
      </c>
      <c r="F430" t="s">
        <v>11</v>
      </c>
      <c r="G430" t="s">
        <v>14</v>
      </c>
      <c r="H430">
        <v>3167.4558499999998</v>
      </c>
    </row>
    <row r="431" spans="1:8" x14ac:dyDescent="0.3">
      <c r="A431">
        <v>27</v>
      </c>
      <c r="B431" t="s">
        <v>7</v>
      </c>
      <c r="C431">
        <v>30.4</v>
      </c>
      <c r="D431" t="str">
        <f t="shared" si="7"/>
        <v>Obese</v>
      </c>
      <c r="E431">
        <v>3</v>
      </c>
      <c r="F431" t="s">
        <v>11</v>
      </c>
      <c r="G431" t="s">
        <v>13</v>
      </c>
      <c r="H431">
        <v>18804.752400000001</v>
      </c>
    </row>
    <row r="432" spans="1:8" x14ac:dyDescent="0.3">
      <c r="A432">
        <v>19</v>
      </c>
      <c r="B432" t="s">
        <v>10</v>
      </c>
      <c r="C432">
        <v>33.1</v>
      </c>
      <c r="D432" t="str">
        <f t="shared" si="7"/>
        <v>Obese</v>
      </c>
      <c r="E432">
        <v>0</v>
      </c>
      <c r="F432" t="s">
        <v>11</v>
      </c>
      <c r="G432" t="s">
        <v>9</v>
      </c>
      <c r="H432">
        <v>23082.955330000001</v>
      </c>
    </row>
    <row r="433" spans="1:8" x14ac:dyDescent="0.3">
      <c r="A433">
        <v>29</v>
      </c>
      <c r="B433" t="s">
        <v>7</v>
      </c>
      <c r="C433">
        <v>20.234999999999999</v>
      </c>
      <c r="D433" t="str">
        <f t="shared" si="7"/>
        <v>Normal</v>
      </c>
      <c r="E433">
        <v>2</v>
      </c>
      <c r="F433" t="s">
        <v>11</v>
      </c>
      <c r="G433" t="s">
        <v>13</v>
      </c>
      <c r="H433">
        <v>4906.4096499999996</v>
      </c>
    </row>
    <row r="434" spans="1:8" x14ac:dyDescent="0.3">
      <c r="A434">
        <v>42</v>
      </c>
      <c r="B434" t="s">
        <v>10</v>
      </c>
      <c r="C434">
        <v>26.9</v>
      </c>
      <c r="D434" t="str">
        <f t="shared" si="7"/>
        <v>Overweight</v>
      </c>
      <c r="E434">
        <v>0</v>
      </c>
      <c r="F434" t="s">
        <v>11</v>
      </c>
      <c r="G434" t="s">
        <v>9</v>
      </c>
      <c r="H434">
        <v>5969.723</v>
      </c>
    </row>
    <row r="435" spans="1:8" x14ac:dyDescent="0.3">
      <c r="A435">
        <v>60</v>
      </c>
      <c r="B435" t="s">
        <v>7</v>
      </c>
      <c r="C435">
        <v>30.5</v>
      </c>
      <c r="D435" t="str">
        <f t="shared" si="7"/>
        <v>Obese</v>
      </c>
      <c r="E435">
        <v>0</v>
      </c>
      <c r="F435" t="s">
        <v>11</v>
      </c>
      <c r="G435" t="s">
        <v>9</v>
      </c>
      <c r="H435">
        <v>12638.195</v>
      </c>
    </row>
    <row r="436" spans="1:8" x14ac:dyDescent="0.3">
      <c r="A436">
        <v>31</v>
      </c>
      <c r="B436" t="s">
        <v>10</v>
      </c>
      <c r="C436">
        <v>28.594999999999999</v>
      </c>
      <c r="D436" t="str">
        <f t="shared" si="7"/>
        <v>Overweight</v>
      </c>
      <c r="E436">
        <v>1</v>
      </c>
      <c r="F436" t="s">
        <v>11</v>
      </c>
      <c r="G436" t="s">
        <v>13</v>
      </c>
      <c r="H436">
        <v>4243.5900499999998</v>
      </c>
    </row>
    <row r="437" spans="1:8" x14ac:dyDescent="0.3">
      <c r="A437">
        <v>60</v>
      </c>
      <c r="B437" t="s">
        <v>10</v>
      </c>
      <c r="C437">
        <v>33.11</v>
      </c>
      <c r="D437" t="str">
        <f t="shared" si="7"/>
        <v>Obese</v>
      </c>
      <c r="E437">
        <v>3</v>
      </c>
      <c r="F437" t="s">
        <v>11</v>
      </c>
      <c r="G437" t="s">
        <v>12</v>
      </c>
      <c r="H437">
        <v>13919.822899999999</v>
      </c>
    </row>
    <row r="438" spans="1:8" x14ac:dyDescent="0.3">
      <c r="A438">
        <v>22</v>
      </c>
      <c r="B438" t="s">
        <v>10</v>
      </c>
      <c r="C438">
        <v>31.73</v>
      </c>
      <c r="D438" t="str">
        <f t="shared" si="7"/>
        <v>Obese</v>
      </c>
      <c r="E438">
        <v>0</v>
      </c>
      <c r="F438" t="s">
        <v>11</v>
      </c>
      <c r="G438" t="s">
        <v>14</v>
      </c>
      <c r="H438">
        <v>2254.7966999999999</v>
      </c>
    </row>
    <row r="439" spans="1:8" x14ac:dyDescent="0.3">
      <c r="A439">
        <v>35</v>
      </c>
      <c r="B439" t="s">
        <v>10</v>
      </c>
      <c r="C439">
        <v>28.9</v>
      </c>
      <c r="D439" t="str">
        <f t="shared" si="7"/>
        <v>Overweight</v>
      </c>
      <c r="E439">
        <v>3</v>
      </c>
      <c r="F439" t="s">
        <v>11</v>
      </c>
      <c r="G439" t="s">
        <v>9</v>
      </c>
      <c r="H439">
        <v>5926.8459999999995</v>
      </c>
    </row>
    <row r="440" spans="1:8" x14ac:dyDescent="0.3">
      <c r="A440">
        <v>52</v>
      </c>
      <c r="B440" t="s">
        <v>7</v>
      </c>
      <c r="C440">
        <v>46.75</v>
      </c>
      <c r="D440" t="str">
        <f t="shared" si="7"/>
        <v>Obese</v>
      </c>
      <c r="E440">
        <v>5</v>
      </c>
      <c r="F440" t="s">
        <v>11</v>
      </c>
      <c r="G440" t="s">
        <v>12</v>
      </c>
      <c r="H440">
        <v>12592.5345</v>
      </c>
    </row>
    <row r="441" spans="1:8" x14ac:dyDescent="0.3">
      <c r="A441">
        <v>26</v>
      </c>
      <c r="B441" t="s">
        <v>10</v>
      </c>
      <c r="C441">
        <v>29.45</v>
      </c>
      <c r="D441" t="str">
        <f t="shared" si="7"/>
        <v>Overweight</v>
      </c>
      <c r="E441">
        <v>0</v>
      </c>
      <c r="F441" t="s">
        <v>11</v>
      </c>
      <c r="G441" t="s">
        <v>14</v>
      </c>
      <c r="H441">
        <v>2897.3235</v>
      </c>
    </row>
    <row r="442" spans="1:8" x14ac:dyDescent="0.3">
      <c r="A442">
        <v>31</v>
      </c>
      <c r="B442" t="s">
        <v>7</v>
      </c>
      <c r="C442">
        <v>32.68</v>
      </c>
      <c r="D442" t="str">
        <f t="shared" si="7"/>
        <v>Obese</v>
      </c>
      <c r="E442">
        <v>1</v>
      </c>
      <c r="F442" t="s">
        <v>11</v>
      </c>
      <c r="G442" t="s">
        <v>13</v>
      </c>
      <c r="H442">
        <v>4738.2682000000004</v>
      </c>
    </row>
    <row r="443" spans="1:8" x14ac:dyDescent="0.3">
      <c r="A443">
        <v>33</v>
      </c>
      <c r="B443" t="s">
        <v>7</v>
      </c>
      <c r="C443">
        <v>33.5</v>
      </c>
      <c r="D443" t="str">
        <f t="shared" si="7"/>
        <v>Obese</v>
      </c>
      <c r="E443">
        <v>0</v>
      </c>
      <c r="F443" t="s">
        <v>8</v>
      </c>
      <c r="G443" t="s">
        <v>9</v>
      </c>
      <c r="H443">
        <v>37079.372000000003</v>
      </c>
    </row>
    <row r="444" spans="1:8" x14ac:dyDescent="0.3">
      <c r="A444">
        <v>18</v>
      </c>
      <c r="B444" t="s">
        <v>10</v>
      </c>
      <c r="C444">
        <v>43.01</v>
      </c>
      <c r="D444" t="str">
        <f t="shared" si="7"/>
        <v>Obese</v>
      </c>
      <c r="E444">
        <v>0</v>
      </c>
      <c r="F444" t="s">
        <v>11</v>
      </c>
      <c r="G444" t="s">
        <v>12</v>
      </c>
      <c r="H444">
        <v>1149.3959</v>
      </c>
    </row>
    <row r="445" spans="1:8" x14ac:dyDescent="0.3">
      <c r="A445">
        <v>59</v>
      </c>
      <c r="B445" t="s">
        <v>7</v>
      </c>
      <c r="C445">
        <v>36.520000000000003</v>
      </c>
      <c r="D445" t="str">
        <f t="shared" si="7"/>
        <v>Obese</v>
      </c>
      <c r="E445">
        <v>1</v>
      </c>
      <c r="F445" t="s">
        <v>11</v>
      </c>
      <c r="G445" t="s">
        <v>12</v>
      </c>
      <c r="H445">
        <v>28287.897659999999</v>
      </c>
    </row>
    <row r="446" spans="1:8" x14ac:dyDescent="0.3">
      <c r="A446">
        <v>56</v>
      </c>
      <c r="B446" t="s">
        <v>10</v>
      </c>
      <c r="C446">
        <v>26.695</v>
      </c>
      <c r="D446" t="str">
        <f t="shared" si="7"/>
        <v>Overweight</v>
      </c>
      <c r="E446">
        <v>1</v>
      </c>
      <c r="F446" t="s">
        <v>8</v>
      </c>
      <c r="G446" t="s">
        <v>13</v>
      </c>
      <c r="H446">
        <v>26109.32905</v>
      </c>
    </row>
    <row r="447" spans="1:8" x14ac:dyDescent="0.3">
      <c r="A447">
        <v>45</v>
      </c>
      <c r="B447" t="s">
        <v>7</v>
      </c>
      <c r="C447">
        <v>33.1</v>
      </c>
      <c r="D447" t="str">
        <f t="shared" si="7"/>
        <v>Obese</v>
      </c>
      <c r="E447">
        <v>0</v>
      </c>
      <c r="F447" t="s">
        <v>11</v>
      </c>
      <c r="G447" t="s">
        <v>9</v>
      </c>
      <c r="H447">
        <v>7345.0839999999998</v>
      </c>
    </row>
    <row r="448" spans="1:8" x14ac:dyDescent="0.3">
      <c r="A448">
        <v>60</v>
      </c>
      <c r="B448" t="s">
        <v>10</v>
      </c>
      <c r="C448">
        <v>29.64</v>
      </c>
      <c r="D448" t="str">
        <f t="shared" si="7"/>
        <v>Overweight</v>
      </c>
      <c r="E448">
        <v>0</v>
      </c>
      <c r="F448" t="s">
        <v>11</v>
      </c>
      <c r="G448" t="s">
        <v>14</v>
      </c>
      <c r="H448">
        <v>12730.999599999999</v>
      </c>
    </row>
    <row r="449" spans="1:8" x14ac:dyDescent="0.3">
      <c r="A449">
        <v>56</v>
      </c>
      <c r="B449" t="s">
        <v>7</v>
      </c>
      <c r="C449">
        <v>25.65</v>
      </c>
      <c r="D449" t="str">
        <f t="shared" si="7"/>
        <v>Overweight</v>
      </c>
      <c r="E449">
        <v>0</v>
      </c>
      <c r="F449" t="s">
        <v>11</v>
      </c>
      <c r="G449" t="s">
        <v>13</v>
      </c>
      <c r="H449">
        <v>11454.021500000001</v>
      </c>
    </row>
    <row r="450" spans="1:8" x14ac:dyDescent="0.3">
      <c r="A450">
        <v>40</v>
      </c>
      <c r="B450" t="s">
        <v>7</v>
      </c>
      <c r="C450">
        <v>29.6</v>
      </c>
      <c r="D450" t="str">
        <f t="shared" si="7"/>
        <v>Overweight</v>
      </c>
      <c r="E450">
        <v>0</v>
      </c>
      <c r="F450" t="s">
        <v>11</v>
      </c>
      <c r="G450" t="s">
        <v>9</v>
      </c>
      <c r="H450">
        <v>5910.9440000000004</v>
      </c>
    </row>
    <row r="451" spans="1:8" x14ac:dyDescent="0.3">
      <c r="A451">
        <v>35</v>
      </c>
      <c r="B451" t="s">
        <v>10</v>
      </c>
      <c r="C451">
        <v>38.6</v>
      </c>
      <c r="D451" t="str">
        <f t="shared" si="7"/>
        <v>Obese</v>
      </c>
      <c r="E451">
        <v>1</v>
      </c>
      <c r="F451" t="s">
        <v>11</v>
      </c>
      <c r="G451" t="s">
        <v>9</v>
      </c>
      <c r="H451">
        <v>4762.3289999999997</v>
      </c>
    </row>
    <row r="452" spans="1:8" x14ac:dyDescent="0.3">
      <c r="A452">
        <v>39</v>
      </c>
      <c r="B452" t="s">
        <v>10</v>
      </c>
      <c r="C452">
        <v>29.6</v>
      </c>
      <c r="D452" t="str">
        <f t="shared" si="7"/>
        <v>Overweight</v>
      </c>
      <c r="E452">
        <v>4</v>
      </c>
      <c r="F452" t="s">
        <v>11</v>
      </c>
      <c r="G452" t="s">
        <v>9</v>
      </c>
      <c r="H452">
        <v>7512.2669999999998</v>
      </c>
    </row>
    <row r="453" spans="1:8" x14ac:dyDescent="0.3">
      <c r="A453">
        <v>30</v>
      </c>
      <c r="B453" t="s">
        <v>10</v>
      </c>
      <c r="C453">
        <v>24.13</v>
      </c>
      <c r="D453" t="str">
        <f t="shared" si="7"/>
        <v>Normal</v>
      </c>
      <c r="E453">
        <v>1</v>
      </c>
      <c r="F453" t="s">
        <v>11</v>
      </c>
      <c r="G453" t="s">
        <v>13</v>
      </c>
      <c r="H453">
        <v>4032.2406999999998</v>
      </c>
    </row>
    <row r="454" spans="1:8" x14ac:dyDescent="0.3">
      <c r="A454">
        <v>24</v>
      </c>
      <c r="B454" t="s">
        <v>10</v>
      </c>
      <c r="C454">
        <v>23.4</v>
      </c>
      <c r="D454" t="str">
        <f t="shared" si="7"/>
        <v>Normal</v>
      </c>
      <c r="E454">
        <v>0</v>
      </c>
      <c r="F454" t="s">
        <v>11</v>
      </c>
      <c r="G454" t="s">
        <v>9</v>
      </c>
      <c r="H454">
        <v>1969.614</v>
      </c>
    </row>
    <row r="455" spans="1:8" x14ac:dyDescent="0.3">
      <c r="A455">
        <v>20</v>
      </c>
      <c r="B455" t="s">
        <v>10</v>
      </c>
      <c r="C455">
        <v>29.734999999999999</v>
      </c>
      <c r="D455" t="str">
        <f t="shared" si="7"/>
        <v>Overweight</v>
      </c>
      <c r="E455">
        <v>0</v>
      </c>
      <c r="F455" t="s">
        <v>11</v>
      </c>
      <c r="G455" t="s">
        <v>13</v>
      </c>
      <c r="H455">
        <v>1769.5316499999999</v>
      </c>
    </row>
    <row r="456" spans="1:8" x14ac:dyDescent="0.3">
      <c r="A456">
        <v>32</v>
      </c>
      <c r="B456" t="s">
        <v>10</v>
      </c>
      <c r="C456">
        <v>46.53</v>
      </c>
      <c r="D456" t="str">
        <f t="shared" si="7"/>
        <v>Obese</v>
      </c>
      <c r="E456">
        <v>2</v>
      </c>
      <c r="F456" t="s">
        <v>11</v>
      </c>
      <c r="G456" t="s">
        <v>12</v>
      </c>
      <c r="H456">
        <v>4686.3887000000004</v>
      </c>
    </row>
    <row r="457" spans="1:8" x14ac:dyDescent="0.3">
      <c r="A457">
        <v>59</v>
      </c>
      <c r="B457" t="s">
        <v>10</v>
      </c>
      <c r="C457">
        <v>37.4</v>
      </c>
      <c r="D457" t="str">
        <f t="shared" si="7"/>
        <v>Obese</v>
      </c>
      <c r="E457">
        <v>0</v>
      </c>
      <c r="F457" t="s">
        <v>11</v>
      </c>
      <c r="G457" t="s">
        <v>9</v>
      </c>
      <c r="H457">
        <v>21797.000400000001</v>
      </c>
    </row>
    <row r="458" spans="1:8" x14ac:dyDescent="0.3">
      <c r="A458">
        <v>55</v>
      </c>
      <c r="B458" t="s">
        <v>7</v>
      </c>
      <c r="C458">
        <v>30.14</v>
      </c>
      <c r="D458" t="str">
        <f t="shared" si="7"/>
        <v>Obese</v>
      </c>
      <c r="E458">
        <v>2</v>
      </c>
      <c r="F458" t="s">
        <v>11</v>
      </c>
      <c r="G458" t="s">
        <v>12</v>
      </c>
      <c r="H458">
        <v>11881.9696</v>
      </c>
    </row>
    <row r="459" spans="1:8" x14ac:dyDescent="0.3">
      <c r="A459">
        <v>57</v>
      </c>
      <c r="B459" t="s">
        <v>7</v>
      </c>
      <c r="C459">
        <v>30.495000000000001</v>
      </c>
      <c r="D459" t="str">
        <f t="shared" si="7"/>
        <v>Obese</v>
      </c>
      <c r="E459">
        <v>0</v>
      </c>
      <c r="F459" t="s">
        <v>11</v>
      </c>
      <c r="G459" t="s">
        <v>13</v>
      </c>
      <c r="H459">
        <v>11840.77505</v>
      </c>
    </row>
    <row r="460" spans="1:8" x14ac:dyDescent="0.3">
      <c r="A460">
        <v>56</v>
      </c>
      <c r="B460" t="s">
        <v>10</v>
      </c>
      <c r="C460">
        <v>39.6</v>
      </c>
      <c r="D460" t="str">
        <f t="shared" si="7"/>
        <v>Obese</v>
      </c>
      <c r="E460">
        <v>0</v>
      </c>
      <c r="F460" t="s">
        <v>11</v>
      </c>
      <c r="G460" t="s">
        <v>9</v>
      </c>
      <c r="H460">
        <v>10601.412</v>
      </c>
    </row>
    <row r="461" spans="1:8" x14ac:dyDescent="0.3">
      <c r="A461">
        <v>40</v>
      </c>
      <c r="B461" t="s">
        <v>7</v>
      </c>
      <c r="C461">
        <v>33</v>
      </c>
      <c r="D461" t="str">
        <f t="shared" si="7"/>
        <v>Obese</v>
      </c>
      <c r="E461">
        <v>3</v>
      </c>
      <c r="F461" t="s">
        <v>11</v>
      </c>
      <c r="G461" t="s">
        <v>12</v>
      </c>
      <c r="H461">
        <v>7682.67</v>
      </c>
    </row>
    <row r="462" spans="1:8" x14ac:dyDescent="0.3">
      <c r="A462">
        <v>49</v>
      </c>
      <c r="B462" t="s">
        <v>7</v>
      </c>
      <c r="C462">
        <v>36.630000000000003</v>
      </c>
      <c r="D462" t="str">
        <f t="shared" si="7"/>
        <v>Obese</v>
      </c>
      <c r="E462">
        <v>3</v>
      </c>
      <c r="F462" t="s">
        <v>11</v>
      </c>
      <c r="G462" t="s">
        <v>12</v>
      </c>
      <c r="H462">
        <v>10381.4787</v>
      </c>
    </row>
    <row r="463" spans="1:8" x14ac:dyDescent="0.3">
      <c r="A463">
        <v>42</v>
      </c>
      <c r="B463" t="s">
        <v>10</v>
      </c>
      <c r="C463">
        <v>30</v>
      </c>
      <c r="D463" t="str">
        <f t="shared" si="7"/>
        <v>Obese</v>
      </c>
      <c r="E463">
        <v>0</v>
      </c>
      <c r="F463" t="s">
        <v>8</v>
      </c>
      <c r="G463" t="s">
        <v>9</v>
      </c>
      <c r="H463">
        <v>22144.031999999999</v>
      </c>
    </row>
    <row r="464" spans="1:8" x14ac:dyDescent="0.3">
      <c r="A464">
        <v>62</v>
      </c>
      <c r="B464" t="s">
        <v>7</v>
      </c>
      <c r="C464">
        <v>38.094999999999999</v>
      </c>
      <c r="D464" t="str">
        <f t="shared" si="7"/>
        <v>Obese</v>
      </c>
      <c r="E464">
        <v>2</v>
      </c>
      <c r="F464" t="s">
        <v>11</v>
      </c>
      <c r="G464" t="s">
        <v>14</v>
      </c>
      <c r="H464">
        <v>15230.324049999999</v>
      </c>
    </row>
    <row r="465" spans="1:8" x14ac:dyDescent="0.3">
      <c r="A465">
        <v>56</v>
      </c>
      <c r="B465" t="s">
        <v>10</v>
      </c>
      <c r="C465">
        <v>25.934999999999999</v>
      </c>
      <c r="D465" t="str">
        <f t="shared" si="7"/>
        <v>Overweight</v>
      </c>
      <c r="E465">
        <v>0</v>
      </c>
      <c r="F465" t="s">
        <v>11</v>
      </c>
      <c r="G465" t="s">
        <v>14</v>
      </c>
      <c r="H465">
        <v>11165.417649999999</v>
      </c>
    </row>
    <row r="466" spans="1:8" x14ac:dyDescent="0.3">
      <c r="A466">
        <v>19</v>
      </c>
      <c r="B466" t="s">
        <v>10</v>
      </c>
      <c r="C466">
        <v>25.175000000000001</v>
      </c>
      <c r="D466" t="str">
        <f t="shared" si="7"/>
        <v>Overweight</v>
      </c>
      <c r="E466">
        <v>0</v>
      </c>
      <c r="F466" t="s">
        <v>11</v>
      </c>
      <c r="G466" t="s">
        <v>13</v>
      </c>
      <c r="H466">
        <v>1632.0362500000001</v>
      </c>
    </row>
    <row r="467" spans="1:8" x14ac:dyDescent="0.3">
      <c r="A467">
        <v>30</v>
      </c>
      <c r="B467" t="s">
        <v>7</v>
      </c>
      <c r="C467">
        <v>28.38</v>
      </c>
      <c r="D467" t="str">
        <f t="shared" si="7"/>
        <v>Overweight</v>
      </c>
      <c r="E467">
        <v>1</v>
      </c>
      <c r="F467" t="s">
        <v>8</v>
      </c>
      <c r="G467" t="s">
        <v>12</v>
      </c>
      <c r="H467">
        <v>19521.968199999999</v>
      </c>
    </row>
    <row r="468" spans="1:8" x14ac:dyDescent="0.3">
      <c r="A468">
        <v>60</v>
      </c>
      <c r="B468" t="s">
        <v>7</v>
      </c>
      <c r="C468">
        <v>28.7</v>
      </c>
      <c r="D468" t="str">
        <f t="shared" si="7"/>
        <v>Overweight</v>
      </c>
      <c r="E468">
        <v>1</v>
      </c>
      <c r="F468" t="s">
        <v>11</v>
      </c>
      <c r="G468" t="s">
        <v>9</v>
      </c>
      <c r="H468">
        <v>13224.692999999999</v>
      </c>
    </row>
    <row r="469" spans="1:8" x14ac:dyDescent="0.3">
      <c r="A469">
        <v>56</v>
      </c>
      <c r="B469" t="s">
        <v>7</v>
      </c>
      <c r="C469">
        <v>33.82</v>
      </c>
      <c r="D469" t="str">
        <f t="shared" ref="D469:D532" si="8">IF(C469&lt;18.5,"Underweight",IF(C469&lt;24.9,"Normal",IF(C469&lt;30,"Overweight","Obese")))</f>
        <v>Obese</v>
      </c>
      <c r="E469">
        <v>2</v>
      </c>
      <c r="F469" t="s">
        <v>11</v>
      </c>
      <c r="G469" t="s">
        <v>13</v>
      </c>
      <c r="H469">
        <v>12643.3778</v>
      </c>
    </row>
    <row r="470" spans="1:8" x14ac:dyDescent="0.3">
      <c r="A470">
        <v>28</v>
      </c>
      <c r="B470" t="s">
        <v>7</v>
      </c>
      <c r="C470">
        <v>24.32</v>
      </c>
      <c r="D470" t="str">
        <f t="shared" si="8"/>
        <v>Normal</v>
      </c>
      <c r="E470">
        <v>1</v>
      </c>
      <c r="F470" t="s">
        <v>11</v>
      </c>
      <c r="G470" t="s">
        <v>14</v>
      </c>
      <c r="H470">
        <v>23288.928400000001</v>
      </c>
    </row>
    <row r="471" spans="1:8" x14ac:dyDescent="0.3">
      <c r="A471">
        <v>18</v>
      </c>
      <c r="B471" t="s">
        <v>7</v>
      </c>
      <c r="C471">
        <v>24.09</v>
      </c>
      <c r="D471" t="str">
        <f t="shared" si="8"/>
        <v>Normal</v>
      </c>
      <c r="E471">
        <v>1</v>
      </c>
      <c r="F471" t="s">
        <v>11</v>
      </c>
      <c r="G471" t="s">
        <v>12</v>
      </c>
      <c r="H471">
        <v>2201.0971</v>
      </c>
    </row>
    <row r="472" spans="1:8" x14ac:dyDescent="0.3">
      <c r="A472">
        <v>27</v>
      </c>
      <c r="B472" t="s">
        <v>10</v>
      </c>
      <c r="C472">
        <v>32.67</v>
      </c>
      <c r="D472" t="str">
        <f t="shared" si="8"/>
        <v>Obese</v>
      </c>
      <c r="E472">
        <v>0</v>
      </c>
      <c r="F472" t="s">
        <v>11</v>
      </c>
      <c r="G472" t="s">
        <v>12</v>
      </c>
      <c r="H472">
        <v>2497.0383000000002</v>
      </c>
    </row>
    <row r="473" spans="1:8" x14ac:dyDescent="0.3">
      <c r="A473">
        <v>18</v>
      </c>
      <c r="B473" t="s">
        <v>7</v>
      </c>
      <c r="C473">
        <v>30.114999999999998</v>
      </c>
      <c r="D473" t="str">
        <f t="shared" si="8"/>
        <v>Obese</v>
      </c>
      <c r="E473">
        <v>0</v>
      </c>
      <c r="F473" t="s">
        <v>11</v>
      </c>
      <c r="G473" t="s">
        <v>14</v>
      </c>
      <c r="H473">
        <v>2203.4718499999999</v>
      </c>
    </row>
    <row r="474" spans="1:8" x14ac:dyDescent="0.3">
      <c r="A474">
        <v>19</v>
      </c>
      <c r="B474" t="s">
        <v>7</v>
      </c>
      <c r="C474">
        <v>29.8</v>
      </c>
      <c r="D474" t="str">
        <f t="shared" si="8"/>
        <v>Overweight</v>
      </c>
      <c r="E474">
        <v>0</v>
      </c>
      <c r="F474" t="s">
        <v>11</v>
      </c>
      <c r="G474" t="s">
        <v>9</v>
      </c>
      <c r="H474">
        <v>1744.4649999999999</v>
      </c>
    </row>
    <row r="475" spans="1:8" x14ac:dyDescent="0.3">
      <c r="A475">
        <v>47</v>
      </c>
      <c r="B475" t="s">
        <v>7</v>
      </c>
      <c r="C475">
        <v>33.344999999999999</v>
      </c>
      <c r="D475" t="str">
        <f t="shared" si="8"/>
        <v>Obese</v>
      </c>
      <c r="E475">
        <v>0</v>
      </c>
      <c r="F475" t="s">
        <v>11</v>
      </c>
      <c r="G475" t="s">
        <v>14</v>
      </c>
      <c r="H475">
        <v>20878.78443</v>
      </c>
    </row>
    <row r="476" spans="1:8" x14ac:dyDescent="0.3">
      <c r="A476">
        <v>54</v>
      </c>
      <c r="B476" t="s">
        <v>10</v>
      </c>
      <c r="C476">
        <v>25.1</v>
      </c>
      <c r="D476" t="str">
        <f t="shared" si="8"/>
        <v>Overweight</v>
      </c>
      <c r="E476">
        <v>3</v>
      </c>
      <c r="F476" t="s">
        <v>8</v>
      </c>
      <c r="G476" t="s">
        <v>9</v>
      </c>
      <c r="H476">
        <v>25382.296999999999</v>
      </c>
    </row>
    <row r="477" spans="1:8" x14ac:dyDescent="0.3">
      <c r="A477">
        <v>61</v>
      </c>
      <c r="B477" t="s">
        <v>10</v>
      </c>
      <c r="C477">
        <v>28.31</v>
      </c>
      <c r="D477" t="str">
        <f t="shared" si="8"/>
        <v>Overweight</v>
      </c>
      <c r="E477">
        <v>1</v>
      </c>
      <c r="F477" t="s">
        <v>8</v>
      </c>
      <c r="G477" t="s">
        <v>13</v>
      </c>
      <c r="H477">
        <v>28868.6639</v>
      </c>
    </row>
    <row r="478" spans="1:8" x14ac:dyDescent="0.3">
      <c r="A478">
        <v>24</v>
      </c>
      <c r="B478" t="s">
        <v>10</v>
      </c>
      <c r="C478">
        <v>28.5</v>
      </c>
      <c r="D478" t="str">
        <f t="shared" si="8"/>
        <v>Overweight</v>
      </c>
      <c r="E478">
        <v>0</v>
      </c>
      <c r="F478" t="s">
        <v>8</v>
      </c>
      <c r="G478" t="s">
        <v>14</v>
      </c>
      <c r="H478">
        <v>35147.528480000001</v>
      </c>
    </row>
    <row r="479" spans="1:8" x14ac:dyDescent="0.3">
      <c r="A479">
        <v>25</v>
      </c>
      <c r="B479" t="s">
        <v>10</v>
      </c>
      <c r="C479">
        <v>35.625</v>
      </c>
      <c r="D479" t="str">
        <f t="shared" si="8"/>
        <v>Obese</v>
      </c>
      <c r="E479">
        <v>0</v>
      </c>
      <c r="F479" t="s">
        <v>11</v>
      </c>
      <c r="G479" t="s">
        <v>13</v>
      </c>
      <c r="H479">
        <v>2534.3937500000002</v>
      </c>
    </row>
    <row r="480" spans="1:8" x14ac:dyDescent="0.3">
      <c r="A480">
        <v>21</v>
      </c>
      <c r="B480" t="s">
        <v>10</v>
      </c>
      <c r="C480">
        <v>36.85</v>
      </c>
      <c r="D480" t="str">
        <f t="shared" si="8"/>
        <v>Obese</v>
      </c>
      <c r="E480">
        <v>0</v>
      </c>
      <c r="F480" t="s">
        <v>11</v>
      </c>
      <c r="G480" t="s">
        <v>12</v>
      </c>
      <c r="H480">
        <v>1534.3045</v>
      </c>
    </row>
    <row r="481" spans="1:8" x14ac:dyDescent="0.3">
      <c r="A481">
        <v>23</v>
      </c>
      <c r="B481" t="s">
        <v>10</v>
      </c>
      <c r="C481">
        <v>32.56</v>
      </c>
      <c r="D481" t="str">
        <f t="shared" si="8"/>
        <v>Obese</v>
      </c>
      <c r="E481">
        <v>0</v>
      </c>
      <c r="F481" t="s">
        <v>11</v>
      </c>
      <c r="G481" t="s">
        <v>12</v>
      </c>
      <c r="H481">
        <v>1824.2854</v>
      </c>
    </row>
    <row r="482" spans="1:8" x14ac:dyDescent="0.3">
      <c r="A482">
        <v>63</v>
      </c>
      <c r="B482" t="s">
        <v>10</v>
      </c>
      <c r="C482">
        <v>41.325000000000003</v>
      </c>
      <c r="D482" t="str">
        <f t="shared" si="8"/>
        <v>Obese</v>
      </c>
      <c r="E482">
        <v>3</v>
      </c>
      <c r="F482" t="s">
        <v>11</v>
      </c>
      <c r="G482" t="s">
        <v>13</v>
      </c>
      <c r="H482">
        <v>15555.188749999999</v>
      </c>
    </row>
    <row r="483" spans="1:8" x14ac:dyDescent="0.3">
      <c r="A483">
        <v>49</v>
      </c>
      <c r="B483" t="s">
        <v>10</v>
      </c>
      <c r="C483">
        <v>37.51</v>
      </c>
      <c r="D483" t="str">
        <f t="shared" si="8"/>
        <v>Obese</v>
      </c>
      <c r="E483">
        <v>2</v>
      </c>
      <c r="F483" t="s">
        <v>11</v>
      </c>
      <c r="G483" t="s">
        <v>12</v>
      </c>
      <c r="H483">
        <v>9304.7019</v>
      </c>
    </row>
    <row r="484" spans="1:8" x14ac:dyDescent="0.3">
      <c r="A484">
        <v>18</v>
      </c>
      <c r="B484" t="s">
        <v>7</v>
      </c>
      <c r="C484">
        <v>31.35</v>
      </c>
      <c r="D484" t="str">
        <f t="shared" si="8"/>
        <v>Obese</v>
      </c>
      <c r="E484">
        <v>0</v>
      </c>
      <c r="F484" t="s">
        <v>11</v>
      </c>
      <c r="G484" t="s">
        <v>12</v>
      </c>
      <c r="H484">
        <v>1622.1885</v>
      </c>
    </row>
    <row r="485" spans="1:8" x14ac:dyDescent="0.3">
      <c r="A485">
        <v>51</v>
      </c>
      <c r="B485" t="s">
        <v>7</v>
      </c>
      <c r="C485">
        <v>39.5</v>
      </c>
      <c r="D485" t="str">
        <f t="shared" si="8"/>
        <v>Obese</v>
      </c>
      <c r="E485">
        <v>1</v>
      </c>
      <c r="F485" t="s">
        <v>11</v>
      </c>
      <c r="G485" t="s">
        <v>9</v>
      </c>
      <c r="H485">
        <v>9880.0679999999993</v>
      </c>
    </row>
    <row r="486" spans="1:8" x14ac:dyDescent="0.3">
      <c r="A486">
        <v>48</v>
      </c>
      <c r="B486" t="s">
        <v>10</v>
      </c>
      <c r="C486">
        <v>34.299999999999997</v>
      </c>
      <c r="D486" t="str">
        <f t="shared" si="8"/>
        <v>Obese</v>
      </c>
      <c r="E486">
        <v>3</v>
      </c>
      <c r="F486" t="s">
        <v>11</v>
      </c>
      <c r="G486" t="s">
        <v>9</v>
      </c>
      <c r="H486">
        <v>9563.0290000000005</v>
      </c>
    </row>
    <row r="487" spans="1:8" x14ac:dyDescent="0.3">
      <c r="A487">
        <v>31</v>
      </c>
      <c r="B487" t="s">
        <v>7</v>
      </c>
      <c r="C487">
        <v>31.065000000000001</v>
      </c>
      <c r="D487" t="str">
        <f t="shared" si="8"/>
        <v>Obese</v>
      </c>
      <c r="E487">
        <v>0</v>
      </c>
      <c r="F487" t="s">
        <v>11</v>
      </c>
      <c r="G487" t="s">
        <v>14</v>
      </c>
      <c r="H487">
        <v>4347.0233500000004</v>
      </c>
    </row>
    <row r="488" spans="1:8" x14ac:dyDescent="0.3">
      <c r="A488">
        <v>54</v>
      </c>
      <c r="B488" t="s">
        <v>7</v>
      </c>
      <c r="C488">
        <v>21.47</v>
      </c>
      <c r="D488" t="str">
        <f t="shared" si="8"/>
        <v>Normal</v>
      </c>
      <c r="E488">
        <v>3</v>
      </c>
      <c r="F488" t="s">
        <v>11</v>
      </c>
      <c r="G488" t="s">
        <v>13</v>
      </c>
      <c r="H488">
        <v>12475.3513</v>
      </c>
    </row>
    <row r="489" spans="1:8" x14ac:dyDescent="0.3">
      <c r="A489">
        <v>19</v>
      </c>
      <c r="B489" t="s">
        <v>10</v>
      </c>
      <c r="C489">
        <v>28.7</v>
      </c>
      <c r="D489" t="str">
        <f t="shared" si="8"/>
        <v>Overweight</v>
      </c>
      <c r="E489">
        <v>0</v>
      </c>
      <c r="F489" t="s">
        <v>11</v>
      </c>
      <c r="G489" t="s">
        <v>9</v>
      </c>
      <c r="H489">
        <v>1253.9359999999999</v>
      </c>
    </row>
    <row r="490" spans="1:8" x14ac:dyDescent="0.3">
      <c r="A490">
        <v>44</v>
      </c>
      <c r="B490" t="s">
        <v>7</v>
      </c>
      <c r="C490">
        <v>38.06</v>
      </c>
      <c r="D490" t="str">
        <f t="shared" si="8"/>
        <v>Obese</v>
      </c>
      <c r="E490">
        <v>0</v>
      </c>
      <c r="F490" t="s">
        <v>8</v>
      </c>
      <c r="G490" t="s">
        <v>12</v>
      </c>
      <c r="H490">
        <v>48885.135609999998</v>
      </c>
    </row>
    <row r="491" spans="1:8" x14ac:dyDescent="0.3">
      <c r="A491">
        <v>53</v>
      </c>
      <c r="B491" t="s">
        <v>10</v>
      </c>
      <c r="C491">
        <v>31.16</v>
      </c>
      <c r="D491" t="str">
        <f t="shared" si="8"/>
        <v>Obese</v>
      </c>
      <c r="E491">
        <v>1</v>
      </c>
      <c r="F491" t="s">
        <v>11</v>
      </c>
      <c r="G491" t="s">
        <v>13</v>
      </c>
      <c r="H491">
        <v>10461.9794</v>
      </c>
    </row>
    <row r="492" spans="1:8" x14ac:dyDescent="0.3">
      <c r="A492">
        <v>19</v>
      </c>
      <c r="B492" t="s">
        <v>7</v>
      </c>
      <c r="C492">
        <v>32.9</v>
      </c>
      <c r="D492" t="str">
        <f t="shared" si="8"/>
        <v>Obese</v>
      </c>
      <c r="E492">
        <v>0</v>
      </c>
      <c r="F492" t="s">
        <v>11</v>
      </c>
      <c r="G492" t="s">
        <v>9</v>
      </c>
      <c r="H492">
        <v>1748.7739999999999</v>
      </c>
    </row>
    <row r="493" spans="1:8" x14ac:dyDescent="0.3">
      <c r="A493">
        <v>61</v>
      </c>
      <c r="B493" t="s">
        <v>7</v>
      </c>
      <c r="C493">
        <v>25.08</v>
      </c>
      <c r="D493" t="str">
        <f t="shared" si="8"/>
        <v>Overweight</v>
      </c>
      <c r="E493">
        <v>0</v>
      </c>
      <c r="F493" t="s">
        <v>11</v>
      </c>
      <c r="G493" t="s">
        <v>12</v>
      </c>
      <c r="H493">
        <v>24513.091260000001</v>
      </c>
    </row>
    <row r="494" spans="1:8" x14ac:dyDescent="0.3">
      <c r="A494">
        <v>18</v>
      </c>
      <c r="B494" t="s">
        <v>7</v>
      </c>
      <c r="C494">
        <v>25.08</v>
      </c>
      <c r="D494" t="str">
        <f t="shared" si="8"/>
        <v>Overweight</v>
      </c>
      <c r="E494">
        <v>0</v>
      </c>
      <c r="F494" t="s">
        <v>11</v>
      </c>
      <c r="G494" t="s">
        <v>14</v>
      </c>
      <c r="H494">
        <v>2196.4731999999999</v>
      </c>
    </row>
    <row r="495" spans="1:8" x14ac:dyDescent="0.3">
      <c r="A495">
        <v>61</v>
      </c>
      <c r="B495" t="s">
        <v>10</v>
      </c>
      <c r="C495">
        <v>43.4</v>
      </c>
      <c r="D495" t="str">
        <f t="shared" si="8"/>
        <v>Obese</v>
      </c>
      <c r="E495">
        <v>0</v>
      </c>
      <c r="F495" t="s">
        <v>11</v>
      </c>
      <c r="G495" t="s">
        <v>9</v>
      </c>
      <c r="H495">
        <v>12574.049000000001</v>
      </c>
    </row>
    <row r="496" spans="1:8" x14ac:dyDescent="0.3">
      <c r="A496">
        <v>21</v>
      </c>
      <c r="B496" t="s">
        <v>10</v>
      </c>
      <c r="C496">
        <v>25.7</v>
      </c>
      <c r="D496" t="str">
        <f t="shared" si="8"/>
        <v>Overweight</v>
      </c>
      <c r="E496">
        <v>4</v>
      </c>
      <c r="F496" t="s">
        <v>8</v>
      </c>
      <c r="G496" t="s">
        <v>9</v>
      </c>
      <c r="H496">
        <v>17942.106</v>
      </c>
    </row>
    <row r="497" spans="1:8" x14ac:dyDescent="0.3">
      <c r="A497">
        <v>20</v>
      </c>
      <c r="B497" t="s">
        <v>10</v>
      </c>
      <c r="C497">
        <v>27.93</v>
      </c>
      <c r="D497" t="str">
        <f t="shared" si="8"/>
        <v>Overweight</v>
      </c>
      <c r="E497">
        <v>0</v>
      </c>
      <c r="F497" t="s">
        <v>11</v>
      </c>
      <c r="G497" t="s">
        <v>14</v>
      </c>
      <c r="H497">
        <v>1967.0227</v>
      </c>
    </row>
    <row r="498" spans="1:8" x14ac:dyDescent="0.3">
      <c r="A498">
        <v>31</v>
      </c>
      <c r="B498" t="s">
        <v>7</v>
      </c>
      <c r="C498">
        <v>23.6</v>
      </c>
      <c r="D498" t="str">
        <f t="shared" si="8"/>
        <v>Normal</v>
      </c>
      <c r="E498">
        <v>2</v>
      </c>
      <c r="F498" t="s">
        <v>11</v>
      </c>
      <c r="G498" t="s">
        <v>9</v>
      </c>
      <c r="H498">
        <v>4931.6469999999999</v>
      </c>
    </row>
    <row r="499" spans="1:8" x14ac:dyDescent="0.3">
      <c r="A499">
        <v>45</v>
      </c>
      <c r="B499" t="s">
        <v>10</v>
      </c>
      <c r="C499">
        <v>28.7</v>
      </c>
      <c r="D499" t="str">
        <f t="shared" si="8"/>
        <v>Overweight</v>
      </c>
      <c r="E499">
        <v>2</v>
      </c>
      <c r="F499" t="s">
        <v>11</v>
      </c>
      <c r="G499" t="s">
        <v>9</v>
      </c>
      <c r="H499">
        <v>8027.9679999999998</v>
      </c>
    </row>
    <row r="500" spans="1:8" x14ac:dyDescent="0.3">
      <c r="A500">
        <v>44</v>
      </c>
      <c r="B500" t="s">
        <v>7</v>
      </c>
      <c r="C500">
        <v>23.98</v>
      </c>
      <c r="D500" t="str">
        <f t="shared" si="8"/>
        <v>Normal</v>
      </c>
      <c r="E500">
        <v>2</v>
      </c>
      <c r="F500" t="s">
        <v>11</v>
      </c>
      <c r="G500" t="s">
        <v>12</v>
      </c>
      <c r="H500">
        <v>8211.1002000000008</v>
      </c>
    </row>
    <row r="501" spans="1:8" x14ac:dyDescent="0.3">
      <c r="A501">
        <v>62</v>
      </c>
      <c r="B501" t="s">
        <v>7</v>
      </c>
      <c r="C501">
        <v>39.200000000000003</v>
      </c>
      <c r="D501" t="str">
        <f t="shared" si="8"/>
        <v>Obese</v>
      </c>
      <c r="E501">
        <v>0</v>
      </c>
      <c r="F501" t="s">
        <v>11</v>
      </c>
      <c r="G501" t="s">
        <v>9</v>
      </c>
      <c r="H501">
        <v>13470.86</v>
      </c>
    </row>
    <row r="502" spans="1:8" x14ac:dyDescent="0.3">
      <c r="A502">
        <v>29</v>
      </c>
      <c r="B502" t="s">
        <v>10</v>
      </c>
      <c r="C502">
        <v>34.4</v>
      </c>
      <c r="D502" t="str">
        <f t="shared" si="8"/>
        <v>Obese</v>
      </c>
      <c r="E502">
        <v>0</v>
      </c>
      <c r="F502" t="s">
        <v>8</v>
      </c>
      <c r="G502" t="s">
        <v>9</v>
      </c>
      <c r="H502">
        <v>36197.699000000001</v>
      </c>
    </row>
    <row r="503" spans="1:8" x14ac:dyDescent="0.3">
      <c r="A503">
        <v>43</v>
      </c>
      <c r="B503" t="s">
        <v>10</v>
      </c>
      <c r="C503">
        <v>26.03</v>
      </c>
      <c r="D503" t="str">
        <f t="shared" si="8"/>
        <v>Overweight</v>
      </c>
      <c r="E503">
        <v>0</v>
      </c>
      <c r="F503" t="s">
        <v>11</v>
      </c>
      <c r="G503" t="s">
        <v>14</v>
      </c>
      <c r="H503">
        <v>6837.3687</v>
      </c>
    </row>
    <row r="504" spans="1:8" x14ac:dyDescent="0.3">
      <c r="A504">
        <v>51</v>
      </c>
      <c r="B504" t="s">
        <v>10</v>
      </c>
      <c r="C504">
        <v>23.21</v>
      </c>
      <c r="D504" t="str">
        <f t="shared" si="8"/>
        <v>Normal</v>
      </c>
      <c r="E504">
        <v>1</v>
      </c>
      <c r="F504" t="s">
        <v>8</v>
      </c>
      <c r="G504" t="s">
        <v>12</v>
      </c>
      <c r="H504">
        <v>22218.1149</v>
      </c>
    </row>
    <row r="505" spans="1:8" x14ac:dyDescent="0.3">
      <c r="A505">
        <v>19</v>
      </c>
      <c r="B505" t="s">
        <v>10</v>
      </c>
      <c r="C505">
        <v>30.25</v>
      </c>
      <c r="D505" t="str">
        <f t="shared" si="8"/>
        <v>Obese</v>
      </c>
      <c r="E505">
        <v>0</v>
      </c>
      <c r="F505" t="s">
        <v>8</v>
      </c>
      <c r="G505" t="s">
        <v>12</v>
      </c>
      <c r="H505">
        <v>32548.340499999998</v>
      </c>
    </row>
    <row r="506" spans="1:8" x14ac:dyDescent="0.3">
      <c r="A506">
        <v>38</v>
      </c>
      <c r="B506" t="s">
        <v>7</v>
      </c>
      <c r="C506">
        <v>28.93</v>
      </c>
      <c r="D506" t="str">
        <f t="shared" si="8"/>
        <v>Overweight</v>
      </c>
      <c r="E506">
        <v>1</v>
      </c>
      <c r="F506" t="s">
        <v>11</v>
      </c>
      <c r="G506" t="s">
        <v>12</v>
      </c>
      <c r="H506">
        <v>5974.3846999999996</v>
      </c>
    </row>
    <row r="507" spans="1:8" x14ac:dyDescent="0.3">
      <c r="A507">
        <v>37</v>
      </c>
      <c r="B507" t="s">
        <v>10</v>
      </c>
      <c r="C507">
        <v>30.875</v>
      </c>
      <c r="D507" t="str">
        <f t="shared" si="8"/>
        <v>Obese</v>
      </c>
      <c r="E507">
        <v>3</v>
      </c>
      <c r="F507" t="s">
        <v>11</v>
      </c>
      <c r="G507" t="s">
        <v>13</v>
      </c>
      <c r="H507">
        <v>6796.8632500000003</v>
      </c>
    </row>
    <row r="508" spans="1:8" x14ac:dyDescent="0.3">
      <c r="A508">
        <v>22</v>
      </c>
      <c r="B508" t="s">
        <v>10</v>
      </c>
      <c r="C508">
        <v>31.35</v>
      </c>
      <c r="D508" t="str">
        <f t="shared" si="8"/>
        <v>Obese</v>
      </c>
      <c r="E508">
        <v>1</v>
      </c>
      <c r="F508" t="s">
        <v>11</v>
      </c>
      <c r="G508" t="s">
        <v>13</v>
      </c>
      <c r="H508">
        <v>2643.2685000000001</v>
      </c>
    </row>
    <row r="509" spans="1:8" x14ac:dyDescent="0.3">
      <c r="A509">
        <v>21</v>
      </c>
      <c r="B509" t="s">
        <v>10</v>
      </c>
      <c r="C509">
        <v>23.75</v>
      </c>
      <c r="D509" t="str">
        <f t="shared" si="8"/>
        <v>Normal</v>
      </c>
      <c r="E509">
        <v>2</v>
      </c>
      <c r="F509" t="s">
        <v>11</v>
      </c>
      <c r="G509" t="s">
        <v>13</v>
      </c>
      <c r="H509">
        <v>3077.0954999999999</v>
      </c>
    </row>
    <row r="510" spans="1:8" x14ac:dyDescent="0.3">
      <c r="A510">
        <v>24</v>
      </c>
      <c r="B510" t="s">
        <v>7</v>
      </c>
      <c r="C510">
        <v>25.27</v>
      </c>
      <c r="D510" t="str">
        <f t="shared" si="8"/>
        <v>Overweight</v>
      </c>
      <c r="E510">
        <v>0</v>
      </c>
      <c r="F510" t="s">
        <v>11</v>
      </c>
      <c r="G510" t="s">
        <v>14</v>
      </c>
      <c r="H510">
        <v>3044.2132999999999</v>
      </c>
    </row>
    <row r="511" spans="1:8" x14ac:dyDescent="0.3">
      <c r="A511">
        <v>57</v>
      </c>
      <c r="B511" t="s">
        <v>7</v>
      </c>
      <c r="C511">
        <v>28.7</v>
      </c>
      <c r="D511" t="str">
        <f t="shared" si="8"/>
        <v>Overweight</v>
      </c>
      <c r="E511">
        <v>0</v>
      </c>
      <c r="F511" t="s">
        <v>11</v>
      </c>
      <c r="G511" t="s">
        <v>9</v>
      </c>
      <c r="H511">
        <v>11455.28</v>
      </c>
    </row>
    <row r="512" spans="1:8" x14ac:dyDescent="0.3">
      <c r="A512">
        <v>56</v>
      </c>
      <c r="B512" t="s">
        <v>10</v>
      </c>
      <c r="C512">
        <v>32.11</v>
      </c>
      <c r="D512" t="str">
        <f t="shared" si="8"/>
        <v>Obese</v>
      </c>
      <c r="E512">
        <v>1</v>
      </c>
      <c r="F512" t="s">
        <v>11</v>
      </c>
      <c r="G512" t="s">
        <v>14</v>
      </c>
      <c r="H512">
        <v>11763.000899999999</v>
      </c>
    </row>
    <row r="513" spans="1:8" x14ac:dyDescent="0.3">
      <c r="A513">
        <v>27</v>
      </c>
      <c r="B513" t="s">
        <v>10</v>
      </c>
      <c r="C513">
        <v>33.659999999999997</v>
      </c>
      <c r="D513" t="str">
        <f t="shared" si="8"/>
        <v>Obese</v>
      </c>
      <c r="E513">
        <v>0</v>
      </c>
      <c r="F513" t="s">
        <v>11</v>
      </c>
      <c r="G513" t="s">
        <v>12</v>
      </c>
      <c r="H513">
        <v>2498.4144000000001</v>
      </c>
    </row>
    <row r="514" spans="1:8" x14ac:dyDescent="0.3">
      <c r="A514">
        <v>51</v>
      </c>
      <c r="B514" t="s">
        <v>10</v>
      </c>
      <c r="C514">
        <v>22.42</v>
      </c>
      <c r="D514" t="str">
        <f t="shared" si="8"/>
        <v>Normal</v>
      </c>
      <c r="E514">
        <v>0</v>
      </c>
      <c r="F514" t="s">
        <v>11</v>
      </c>
      <c r="G514" t="s">
        <v>14</v>
      </c>
      <c r="H514">
        <v>9361.3268000000007</v>
      </c>
    </row>
    <row r="515" spans="1:8" x14ac:dyDescent="0.3">
      <c r="A515">
        <v>19</v>
      </c>
      <c r="B515" t="s">
        <v>10</v>
      </c>
      <c r="C515">
        <v>30.4</v>
      </c>
      <c r="D515" t="str">
        <f t="shared" si="8"/>
        <v>Obese</v>
      </c>
      <c r="E515">
        <v>0</v>
      </c>
      <c r="F515" t="s">
        <v>11</v>
      </c>
      <c r="G515" t="s">
        <v>9</v>
      </c>
      <c r="H515">
        <v>1256.299</v>
      </c>
    </row>
    <row r="516" spans="1:8" x14ac:dyDescent="0.3">
      <c r="A516">
        <v>39</v>
      </c>
      <c r="B516" t="s">
        <v>10</v>
      </c>
      <c r="C516">
        <v>28.3</v>
      </c>
      <c r="D516" t="str">
        <f t="shared" si="8"/>
        <v>Overweight</v>
      </c>
      <c r="E516">
        <v>1</v>
      </c>
      <c r="F516" t="s">
        <v>8</v>
      </c>
      <c r="G516" t="s">
        <v>9</v>
      </c>
      <c r="H516">
        <v>21082.16</v>
      </c>
    </row>
    <row r="517" spans="1:8" x14ac:dyDescent="0.3">
      <c r="A517">
        <v>58</v>
      </c>
      <c r="B517" t="s">
        <v>10</v>
      </c>
      <c r="C517">
        <v>35.700000000000003</v>
      </c>
      <c r="D517" t="str">
        <f t="shared" si="8"/>
        <v>Obese</v>
      </c>
      <c r="E517">
        <v>0</v>
      </c>
      <c r="F517" t="s">
        <v>11</v>
      </c>
      <c r="G517" t="s">
        <v>9</v>
      </c>
      <c r="H517">
        <v>11362.754999999999</v>
      </c>
    </row>
    <row r="518" spans="1:8" x14ac:dyDescent="0.3">
      <c r="A518">
        <v>20</v>
      </c>
      <c r="B518" t="s">
        <v>10</v>
      </c>
      <c r="C518">
        <v>35.31</v>
      </c>
      <c r="D518" t="str">
        <f t="shared" si="8"/>
        <v>Obese</v>
      </c>
      <c r="E518">
        <v>1</v>
      </c>
      <c r="F518" t="s">
        <v>11</v>
      </c>
      <c r="G518" t="s">
        <v>12</v>
      </c>
      <c r="H518">
        <v>27724.28875</v>
      </c>
    </row>
    <row r="519" spans="1:8" x14ac:dyDescent="0.3">
      <c r="A519">
        <v>45</v>
      </c>
      <c r="B519" t="s">
        <v>10</v>
      </c>
      <c r="C519">
        <v>30.495000000000001</v>
      </c>
      <c r="D519" t="str">
        <f t="shared" si="8"/>
        <v>Obese</v>
      </c>
      <c r="E519">
        <v>2</v>
      </c>
      <c r="F519" t="s">
        <v>11</v>
      </c>
      <c r="G519" t="s">
        <v>13</v>
      </c>
      <c r="H519">
        <v>8413.4630500000003</v>
      </c>
    </row>
    <row r="520" spans="1:8" x14ac:dyDescent="0.3">
      <c r="A520">
        <v>35</v>
      </c>
      <c r="B520" t="s">
        <v>7</v>
      </c>
      <c r="C520">
        <v>31</v>
      </c>
      <c r="D520" t="str">
        <f t="shared" si="8"/>
        <v>Obese</v>
      </c>
      <c r="E520">
        <v>1</v>
      </c>
      <c r="F520" t="s">
        <v>11</v>
      </c>
      <c r="G520" t="s">
        <v>9</v>
      </c>
      <c r="H520">
        <v>5240.7650000000003</v>
      </c>
    </row>
    <row r="521" spans="1:8" x14ac:dyDescent="0.3">
      <c r="A521">
        <v>31</v>
      </c>
      <c r="B521" t="s">
        <v>10</v>
      </c>
      <c r="C521">
        <v>30.875</v>
      </c>
      <c r="D521" t="str">
        <f t="shared" si="8"/>
        <v>Obese</v>
      </c>
      <c r="E521">
        <v>0</v>
      </c>
      <c r="F521" t="s">
        <v>11</v>
      </c>
      <c r="G521" t="s">
        <v>14</v>
      </c>
      <c r="H521">
        <v>3857.7592500000001</v>
      </c>
    </row>
    <row r="522" spans="1:8" x14ac:dyDescent="0.3">
      <c r="A522">
        <v>50</v>
      </c>
      <c r="B522" t="s">
        <v>7</v>
      </c>
      <c r="C522">
        <v>27.36</v>
      </c>
      <c r="D522" t="str">
        <f t="shared" si="8"/>
        <v>Overweight</v>
      </c>
      <c r="E522">
        <v>0</v>
      </c>
      <c r="F522" t="s">
        <v>11</v>
      </c>
      <c r="G522" t="s">
        <v>14</v>
      </c>
      <c r="H522">
        <v>25656.575260000001</v>
      </c>
    </row>
    <row r="523" spans="1:8" x14ac:dyDescent="0.3">
      <c r="A523">
        <v>32</v>
      </c>
      <c r="B523" t="s">
        <v>7</v>
      </c>
      <c r="C523">
        <v>44.22</v>
      </c>
      <c r="D523" t="str">
        <f t="shared" si="8"/>
        <v>Obese</v>
      </c>
      <c r="E523">
        <v>0</v>
      </c>
      <c r="F523" t="s">
        <v>11</v>
      </c>
      <c r="G523" t="s">
        <v>12</v>
      </c>
      <c r="H523">
        <v>3994.1777999999999</v>
      </c>
    </row>
    <row r="524" spans="1:8" x14ac:dyDescent="0.3">
      <c r="A524">
        <v>51</v>
      </c>
      <c r="B524" t="s">
        <v>7</v>
      </c>
      <c r="C524">
        <v>33.914999999999999</v>
      </c>
      <c r="D524" t="str">
        <f t="shared" si="8"/>
        <v>Obese</v>
      </c>
      <c r="E524">
        <v>0</v>
      </c>
      <c r="F524" t="s">
        <v>11</v>
      </c>
      <c r="G524" t="s">
        <v>14</v>
      </c>
      <c r="H524">
        <v>9866.3048500000004</v>
      </c>
    </row>
    <row r="525" spans="1:8" x14ac:dyDescent="0.3">
      <c r="A525">
        <v>38</v>
      </c>
      <c r="B525" t="s">
        <v>7</v>
      </c>
      <c r="C525">
        <v>37.729999999999997</v>
      </c>
      <c r="D525" t="str">
        <f t="shared" si="8"/>
        <v>Obese</v>
      </c>
      <c r="E525">
        <v>0</v>
      </c>
      <c r="F525" t="s">
        <v>11</v>
      </c>
      <c r="G525" t="s">
        <v>12</v>
      </c>
      <c r="H525">
        <v>5397.6166999999996</v>
      </c>
    </row>
    <row r="526" spans="1:8" x14ac:dyDescent="0.3">
      <c r="A526">
        <v>42</v>
      </c>
      <c r="B526" t="s">
        <v>10</v>
      </c>
      <c r="C526">
        <v>26.07</v>
      </c>
      <c r="D526" t="str">
        <f t="shared" si="8"/>
        <v>Overweight</v>
      </c>
      <c r="E526">
        <v>1</v>
      </c>
      <c r="F526" t="s">
        <v>8</v>
      </c>
      <c r="G526" t="s">
        <v>12</v>
      </c>
      <c r="H526">
        <v>38245.593269999998</v>
      </c>
    </row>
    <row r="527" spans="1:8" x14ac:dyDescent="0.3">
      <c r="A527">
        <v>18</v>
      </c>
      <c r="B527" t="s">
        <v>7</v>
      </c>
      <c r="C527">
        <v>33.880000000000003</v>
      </c>
      <c r="D527" t="str">
        <f t="shared" si="8"/>
        <v>Obese</v>
      </c>
      <c r="E527">
        <v>0</v>
      </c>
      <c r="F527" t="s">
        <v>11</v>
      </c>
      <c r="G527" t="s">
        <v>12</v>
      </c>
      <c r="H527">
        <v>11482.63485</v>
      </c>
    </row>
    <row r="528" spans="1:8" x14ac:dyDescent="0.3">
      <c r="A528">
        <v>19</v>
      </c>
      <c r="B528" t="s">
        <v>7</v>
      </c>
      <c r="C528">
        <v>30.59</v>
      </c>
      <c r="D528" t="str">
        <f t="shared" si="8"/>
        <v>Obese</v>
      </c>
      <c r="E528">
        <v>2</v>
      </c>
      <c r="F528" t="s">
        <v>11</v>
      </c>
      <c r="G528" t="s">
        <v>13</v>
      </c>
      <c r="H528">
        <v>24059.680189999999</v>
      </c>
    </row>
    <row r="529" spans="1:8" x14ac:dyDescent="0.3">
      <c r="A529">
        <v>51</v>
      </c>
      <c r="B529" t="s">
        <v>7</v>
      </c>
      <c r="C529">
        <v>25.8</v>
      </c>
      <c r="D529" t="str">
        <f t="shared" si="8"/>
        <v>Overweight</v>
      </c>
      <c r="E529">
        <v>1</v>
      </c>
      <c r="F529" t="s">
        <v>11</v>
      </c>
      <c r="G529" t="s">
        <v>9</v>
      </c>
      <c r="H529">
        <v>9861.0249999999996</v>
      </c>
    </row>
    <row r="530" spans="1:8" x14ac:dyDescent="0.3">
      <c r="A530">
        <v>46</v>
      </c>
      <c r="B530" t="s">
        <v>10</v>
      </c>
      <c r="C530">
        <v>39.424999999999997</v>
      </c>
      <c r="D530" t="str">
        <f t="shared" si="8"/>
        <v>Obese</v>
      </c>
      <c r="E530">
        <v>1</v>
      </c>
      <c r="F530" t="s">
        <v>11</v>
      </c>
      <c r="G530" t="s">
        <v>14</v>
      </c>
      <c r="H530">
        <v>8342.9087500000005</v>
      </c>
    </row>
    <row r="531" spans="1:8" x14ac:dyDescent="0.3">
      <c r="A531">
        <v>18</v>
      </c>
      <c r="B531" t="s">
        <v>10</v>
      </c>
      <c r="C531">
        <v>25.46</v>
      </c>
      <c r="D531" t="str">
        <f t="shared" si="8"/>
        <v>Overweight</v>
      </c>
      <c r="E531">
        <v>0</v>
      </c>
      <c r="F531" t="s">
        <v>11</v>
      </c>
      <c r="G531" t="s">
        <v>14</v>
      </c>
      <c r="H531">
        <v>1708.0014000000001</v>
      </c>
    </row>
    <row r="532" spans="1:8" x14ac:dyDescent="0.3">
      <c r="A532">
        <v>57</v>
      </c>
      <c r="B532" t="s">
        <v>10</v>
      </c>
      <c r="C532">
        <v>42.13</v>
      </c>
      <c r="D532" t="str">
        <f t="shared" si="8"/>
        <v>Obese</v>
      </c>
      <c r="E532">
        <v>1</v>
      </c>
      <c r="F532" t="s">
        <v>8</v>
      </c>
      <c r="G532" t="s">
        <v>12</v>
      </c>
      <c r="H532">
        <v>48675.517699999997</v>
      </c>
    </row>
    <row r="533" spans="1:8" x14ac:dyDescent="0.3">
      <c r="A533">
        <v>62</v>
      </c>
      <c r="B533" t="s">
        <v>7</v>
      </c>
      <c r="C533">
        <v>31.73</v>
      </c>
      <c r="D533" t="str">
        <f t="shared" ref="D533:D596" si="9">IF(C533&lt;18.5,"Underweight",IF(C533&lt;24.9,"Normal",IF(C533&lt;30,"Overweight","Obese")))</f>
        <v>Obese</v>
      </c>
      <c r="E533">
        <v>0</v>
      </c>
      <c r="F533" t="s">
        <v>11</v>
      </c>
      <c r="G533" t="s">
        <v>14</v>
      </c>
      <c r="H533">
        <v>14043.476699999999</v>
      </c>
    </row>
    <row r="534" spans="1:8" x14ac:dyDescent="0.3">
      <c r="A534">
        <v>59</v>
      </c>
      <c r="B534" t="s">
        <v>10</v>
      </c>
      <c r="C534">
        <v>29.7</v>
      </c>
      <c r="D534" t="str">
        <f t="shared" si="9"/>
        <v>Overweight</v>
      </c>
      <c r="E534">
        <v>2</v>
      </c>
      <c r="F534" t="s">
        <v>11</v>
      </c>
      <c r="G534" t="s">
        <v>12</v>
      </c>
      <c r="H534">
        <v>12925.886</v>
      </c>
    </row>
    <row r="535" spans="1:8" x14ac:dyDescent="0.3">
      <c r="A535">
        <v>37</v>
      </c>
      <c r="B535" t="s">
        <v>10</v>
      </c>
      <c r="C535">
        <v>36.19</v>
      </c>
      <c r="D535" t="str">
        <f t="shared" si="9"/>
        <v>Obese</v>
      </c>
      <c r="E535">
        <v>0</v>
      </c>
      <c r="F535" t="s">
        <v>11</v>
      </c>
      <c r="G535" t="s">
        <v>12</v>
      </c>
      <c r="H535">
        <v>19214.705529999999</v>
      </c>
    </row>
    <row r="536" spans="1:8" x14ac:dyDescent="0.3">
      <c r="A536">
        <v>64</v>
      </c>
      <c r="B536" t="s">
        <v>10</v>
      </c>
      <c r="C536">
        <v>40.479999999999997</v>
      </c>
      <c r="D536" t="str">
        <f t="shared" si="9"/>
        <v>Obese</v>
      </c>
      <c r="E536">
        <v>0</v>
      </c>
      <c r="F536" t="s">
        <v>11</v>
      </c>
      <c r="G536" t="s">
        <v>12</v>
      </c>
      <c r="H536">
        <v>13831.1152</v>
      </c>
    </row>
    <row r="537" spans="1:8" x14ac:dyDescent="0.3">
      <c r="A537">
        <v>38</v>
      </c>
      <c r="B537" t="s">
        <v>10</v>
      </c>
      <c r="C537">
        <v>28.024999999999999</v>
      </c>
      <c r="D537" t="str">
        <f t="shared" si="9"/>
        <v>Overweight</v>
      </c>
      <c r="E537">
        <v>1</v>
      </c>
      <c r="F537" t="s">
        <v>11</v>
      </c>
      <c r="G537" t="s">
        <v>14</v>
      </c>
      <c r="H537">
        <v>6067.1267500000004</v>
      </c>
    </row>
    <row r="538" spans="1:8" x14ac:dyDescent="0.3">
      <c r="A538">
        <v>33</v>
      </c>
      <c r="B538" t="s">
        <v>7</v>
      </c>
      <c r="C538">
        <v>38.9</v>
      </c>
      <c r="D538" t="str">
        <f t="shared" si="9"/>
        <v>Obese</v>
      </c>
      <c r="E538">
        <v>3</v>
      </c>
      <c r="F538" t="s">
        <v>11</v>
      </c>
      <c r="G538" t="s">
        <v>9</v>
      </c>
      <c r="H538">
        <v>5972.3779999999997</v>
      </c>
    </row>
    <row r="539" spans="1:8" x14ac:dyDescent="0.3">
      <c r="A539">
        <v>46</v>
      </c>
      <c r="B539" t="s">
        <v>7</v>
      </c>
      <c r="C539">
        <v>30.2</v>
      </c>
      <c r="D539" t="str">
        <f t="shared" si="9"/>
        <v>Obese</v>
      </c>
      <c r="E539">
        <v>2</v>
      </c>
      <c r="F539" t="s">
        <v>11</v>
      </c>
      <c r="G539" t="s">
        <v>9</v>
      </c>
      <c r="H539">
        <v>8825.0859999999993</v>
      </c>
    </row>
    <row r="540" spans="1:8" x14ac:dyDescent="0.3">
      <c r="A540">
        <v>46</v>
      </c>
      <c r="B540" t="s">
        <v>7</v>
      </c>
      <c r="C540">
        <v>28.05</v>
      </c>
      <c r="D540" t="str">
        <f t="shared" si="9"/>
        <v>Overweight</v>
      </c>
      <c r="E540">
        <v>1</v>
      </c>
      <c r="F540" t="s">
        <v>11</v>
      </c>
      <c r="G540" t="s">
        <v>12</v>
      </c>
      <c r="H540">
        <v>8233.0974999999999</v>
      </c>
    </row>
    <row r="541" spans="1:8" x14ac:dyDescent="0.3">
      <c r="A541">
        <v>53</v>
      </c>
      <c r="B541" t="s">
        <v>10</v>
      </c>
      <c r="C541">
        <v>31.35</v>
      </c>
      <c r="D541" t="str">
        <f t="shared" si="9"/>
        <v>Obese</v>
      </c>
      <c r="E541">
        <v>0</v>
      </c>
      <c r="F541" t="s">
        <v>11</v>
      </c>
      <c r="G541" t="s">
        <v>12</v>
      </c>
      <c r="H541">
        <v>27346.04207</v>
      </c>
    </row>
    <row r="542" spans="1:8" x14ac:dyDescent="0.3">
      <c r="A542">
        <v>34</v>
      </c>
      <c r="B542" t="s">
        <v>7</v>
      </c>
      <c r="C542">
        <v>38</v>
      </c>
      <c r="D542" t="str">
        <f t="shared" si="9"/>
        <v>Obese</v>
      </c>
      <c r="E542">
        <v>3</v>
      </c>
      <c r="F542" t="s">
        <v>11</v>
      </c>
      <c r="G542" t="s">
        <v>9</v>
      </c>
      <c r="H542">
        <v>6196.4480000000003</v>
      </c>
    </row>
    <row r="543" spans="1:8" x14ac:dyDescent="0.3">
      <c r="A543">
        <v>20</v>
      </c>
      <c r="B543" t="s">
        <v>7</v>
      </c>
      <c r="C543">
        <v>31.79</v>
      </c>
      <c r="D543" t="str">
        <f t="shared" si="9"/>
        <v>Obese</v>
      </c>
      <c r="E543">
        <v>2</v>
      </c>
      <c r="F543" t="s">
        <v>11</v>
      </c>
      <c r="G543" t="s">
        <v>12</v>
      </c>
      <c r="H543">
        <v>3056.3881000000001</v>
      </c>
    </row>
    <row r="544" spans="1:8" x14ac:dyDescent="0.3">
      <c r="A544">
        <v>63</v>
      </c>
      <c r="B544" t="s">
        <v>7</v>
      </c>
      <c r="C544">
        <v>36.299999999999997</v>
      </c>
      <c r="D544" t="str">
        <f t="shared" si="9"/>
        <v>Obese</v>
      </c>
      <c r="E544">
        <v>0</v>
      </c>
      <c r="F544" t="s">
        <v>11</v>
      </c>
      <c r="G544" t="s">
        <v>12</v>
      </c>
      <c r="H544">
        <v>13887.204</v>
      </c>
    </row>
    <row r="545" spans="1:8" x14ac:dyDescent="0.3">
      <c r="A545">
        <v>54</v>
      </c>
      <c r="B545" t="s">
        <v>7</v>
      </c>
      <c r="C545">
        <v>47.41</v>
      </c>
      <c r="D545" t="str">
        <f t="shared" si="9"/>
        <v>Obese</v>
      </c>
      <c r="E545">
        <v>0</v>
      </c>
      <c r="F545" t="s">
        <v>8</v>
      </c>
      <c r="G545" t="s">
        <v>12</v>
      </c>
      <c r="H545">
        <v>63770.428010000003</v>
      </c>
    </row>
    <row r="546" spans="1:8" x14ac:dyDescent="0.3">
      <c r="A546">
        <v>54</v>
      </c>
      <c r="B546" t="s">
        <v>10</v>
      </c>
      <c r="C546">
        <v>30.21</v>
      </c>
      <c r="D546" t="str">
        <f t="shared" si="9"/>
        <v>Obese</v>
      </c>
      <c r="E546">
        <v>0</v>
      </c>
      <c r="F546" t="s">
        <v>11</v>
      </c>
      <c r="G546" t="s">
        <v>13</v>
      </c>
      <c r="H546">
        <v>10231.499900000001</v>
      </c>
    </row>
    <row r="547" spans="1:8" x14ac:dyDescent="0.3">
      <c r="A547">
        <v>49</v>
      </c>
      <c r="B547" t="s">
        <v>10</v>
      </c>
      <c r="C547">
        <v>25.84</v>
      </c>
      <c r="D547" t="str">
        <f t="shared" si="9"/>
        <v>Overweight</v>
      </c>
      <c r="E547">
        <v>2</v>
      </c>
      <c r="F547" t="s">
        <v>8</v>
      </c>
      <c r="G547" t="s">
        <v>13</v>
      </c>
      <c r="H547">
        <v>23807.240600000001</v>
      </c>
    </row>
    <row r="548" spans="1:8" x14ac:dyDescent="0.3">
      <c r="A548">
        <v>28</v>
      </c>
      <c r="B548" t="s">
        <v>10</v>
      </c>
      <c r="C548">
        <v>35.435000000000002</v>
      </c>
      <c r="D548" t="str">
        <f t="shared" si="9"/>
        <v>Obese</v>
      </c>
      <c r="E548">
        <v>0</v>
      </c>
      <c r="F548" t="s">
        <v>11</v>
      </c>
      <c r="G548" t="s">
        <v>14</v>
      </c>
      <c r="H548">
        <v>3268.84665</v>
      </c>
    </row>
    <row r="549" spans="1:8" x14ac:dyDescent="0.3">
      <c r="A549">
        <v>54</v>
      </c>
      <c r="B549" t="s">
        <v>7</v>
      </c>
      <c r="C549">
        <v>46.7</v>
      </c>
      <c r="D549" t="str">
        <f t="shared" si="9"/>
        <v>Obese</v>
      </c>
      <c r="E549">
        <v>2</v>
      </c>
      <c r="F549" t="s">
        <v>11</v>
      </c>
      <c r="G549" t="s">
        <v>9</v>
      </c>
      <c r="H549">
        <v>11538.421</v>
      </c>
    </row>
    <row r="550" spans="1:8" x14ac:dyDescent="0.3">
      <c r="A550">
        <v>25</v>
      </c>
      <c r="B550" t="s">
        <v>7</v>
      </c>
      <c r="C550">
        <v>28.594999999999999</v>
      </c>
      <c r="D550" t="str">
        <f t="shared" si="9"/>
        <v>Overweight</v>
      </c>
      <c r="E550">
        <v>0</v>
      </c>
      <c r="F550" t="s">
        <v>11</v>
      </c>
      <c r="G550" t="s">
        <v>14</v>
      </c>
      <c r="H550">
        <v>3213.6220499999999</v>
      </c>
    </row>
    <row r="551" spans="1:8" x14ac:dyDescent="0.3">
      <c r="A551">
        <v>43</v>
      </c>
      <c r="B551" t="s">
        <v>7</v>
      </c>
      <c r="C551">
        <v>46.2</v>
      </c>
      <c r="D551" t="str">
        <f t="shared" si="9"/>
        <v>Obese</v>
      </c>
      <c r="E551">
        <v>0</v>
      </c>
      <c r="F551" t="s">
        <v>8</v>
      </c>
      <c r="G551" t="s">
        <v>12</v>
      </c>
      <c r="H551">
        <v>45863.205000000002</v>
      </c>
    </row>
    <row r="552" spans="1:8" x14ac:dyDescent="0.3">
      <c r="A552">
        <v>63</v>
      </c>
      <c r="B552" t="s">
        <v>10</v>
      </c>
      <c r="C552">
        <v>30.8</v>
      </c>
      <c r="D552" t="str">
        <f t="shared" si="9"/>
        <v>Obese</v>
      </c>
      <c r="E552">
        <v>0</v>
      </c>
      <c r="F552" t="s">
        <v>11</v>
      </c>
      <c r="G552" t="s">
        <v>9</v>
      </c>
      <c r="H552">
        <v>13390.558999999999</v>
      </c>
    </row>
    <row r="553" spans="1:8" x14ac:dyDescent="0.3">
      <c r="A553">
        <v>32</v>
      </c>
      <c r="B553" t="s">
        <v>7</v>
      </c>
      <c r="C553">
        <v>28.93</v>
      </c>
      <c r="D553" t="str">
        <f t="shared" si="9"/>
        <v>Overweight</v>
      </c>
      <c r="E553">
        <v>0</v>
      </c>
      <c r="F553" t="s">
        <v>11</v>
      </c>
      <c r="G553" t="s">
        <v>12</v>
      </c>
      <c r="H553">
        <v>3972.9247</v>
      </c>
    </row>
    <row r="554" spans="1:8" x14ac:dyDescent="0.3">
      <c r="A554">
        <v>62</v>
      </c>
      <c r="B554" t="s">
        <v>10</v>
      </c>
      <c r="C554">
        <v>21.4</v>
      </c>
      <c r="D554" t="str">
        <f t="shared" si="9"/>
        <v>Normal</v>
      </c>
      <c r="E554">
        <v>0</v>
      </c>
      <c r="F554" t="s">
        <v>11</v>
      </c>
      <c r="G554" t="s">
        <v>9</v>
      </c>
      <c r="H554">
        <v>12957.118</v>
      </c>
    </row>
    <row r="555" spans="1:8" x14ac:dyDescent="0.3">
      <c r="A555">
        <v>52</v>
      </c>
      <c r="B555" t="s">
        <v>7</v>
      </c>
      <c r="C555">
        <v>31.73</v>
      </c>
      <c r="D555" t="str">
        <f t="shared" si="9"/>
        <v>Obese</v>
      </c>
      <c r="E555">
        <v>2</v>
      </c>
      <c r="F555" t="s">
        <v>11</v>
      </c>
      <c r="G555" t="s">
        <v>13</v>
      </c>
      <c r="H555">
        <v>11187.6567</v>
      </c>
    </row>
    <row r="556" spans="1:8" x14ac:dyDescent="0.3">
      <c r="A556">
        <v>25</v>
      </c>
      <c r="B556" t="s">
        <v>7</v>
      </c>
      <c r="C556">
        <v>41.325000000000003</v>
      </c>
      <c r="D556" t="str">
        <f t="shared" si="9"/>
        <v>Obese</v>
      </c>
      <c r="E556">
        <v>0</v>
      </c>
      <c r="F556" t="s">
        <v>11</v>
      </c>
      <c r="G556" t="s">
        <v>14</v>
      </c>
      <c r="H556">
        <v>17878.900679999999</v>
      </c>
    </row>
    <row r="557" spans="1:8" x14ac:dyDescent="0.3">
      <c r="A557">
        <v>28</v>
      </c>
      <c r="B557" t="s">
        <v>10</v>
      </c>
      <c r="C557">
        <v>23.8</v>
      </c>
      <c r="D557" t="str">
        <f t="shared" si="9"/>
        <v>Normal</v>
      </c>
      <c r="E557">
        <v>2</v>
      </c>
      <c r="F557" t="s">
        <v>11</v>
      </c>
      <c r="G557" t="s">
        <v>9</v>
      </c>
      <c r="H557">
        <v>3847.674</v>
      </c>
    </row>
    <row r="558" spans="1:8" x14ac:dyDescent="0.3">
      <c r="A558">
        <v>46</v>
      </c>
      <c r="B558" t="s">
        <v>10</v>
      </c>
      <c r="C558">
        <v>33.44</v>
      </c>
      <c r="D558" t="str">
        <f t="shared" si="9"/>
        <v>Obese</v>
      </c>
      <c r="E558">
        <v>1</v>
      </c>
      <c r="F558" t="s">
        <v>11</v>
      </c>
      <c r="G558" t="s">
        <v>14</v>
      </c>
      <c r="H558">
        <v>8334.5895999999993</v>
      </c>
    </row>
    <row r="559" spans="1:8" x14ac:dyDescent="0.3">
      <c r="A559">
        <v>34</v>
      </c>
      <c r="B559" t="s">
        <v>10</v>
      </c>
      <c r="C559">
        <v>34.21</v>
      </c>
      <c r="D559" t="str">
        <f t="shared" si="9"/>
        <v>Obese</v>
      </c>
      <c r="E559">
        <v>0</v>
      </c>
      <c r="F559" t="s">
        <v>11</v>
      </c>
      <c r="G559" t="s">
        <v>12</v>
      </c>
      <c r="H559">
        <v>3935.1799000000001</v>
      </c>
    </row>
    <row r="560" spans="1:8" x14ac:dyDescent="0.3">
      <c r="A560">
        <v>35</v>
      </c>
      <c r="B560" t="s">
        <v>7</v>
      </c>
      <c r="C560">
        <v>34.104999999999997</v>
      </c>
      <c r="D560" t="str">
        <f t="shared" si="9"/>
        <v>Obese</v>
      </c>
      <c r="E560">
        <v>3</v>
      </c>
      <c r="F560" t="s">
        <v>8</v>
      </c>
      <c r="G560" t="s">
        <v>13</v>
      </c>
      <c r="H560">
        <v>39983.425949999997</v>
      </c>
    </row>
    <row r="561" spans="1:8" x14ac:dyDescent="0.3">
      <c r="A561">
        <v>19</v>
      </c>
      <c r="B561" t="s">
        <v>10</v>
      </c>
      <c r="C561">
        <v>35.53</v>
      </c>
      <c r="D561" t="str">
        <f t="shared" si="9"/>
        <v>Obese</v>
      </c>
      <c r="E561">
        <v>0</v>
      </c>
      <c r="F561" t="s">
        <v>11</v>
      </c>
      <c r="G561" t="s">
        <v>13</v>
      </c>
      <c r="H561">
        <v>1646.4296999999999</v>
      </c>
    </row>
    <row r="562" spans="1:8" x14ac:dyDescent="0.3">
      <c r="A562">
        <v>46</v>
      </c>
      <c r="B562" t="s">
        <v>7</v>
      </c>
      <c r="C562">
        <v>19.95</v>
      </c>
      <c r="D562" t="str">
        <f t="shared" si="9"/>
        <v>Normal</v>
      </c>
      <c r="E562">
        <v>2</v>
      </c>
      <c r="F562" t="s">
        <v>11</v>
      </c>
      <c r="G562" t="s">
        <v>13</v>
      </c>
      <c r="H562">
        <v>9193.8384999999998</v>
      </c>
    </row>
    <row r="563" spans="1:8" x14ac:dyDescent="0.3">
      <c r="A563">
        <v>54</v>
      </c>
      <c r="B563" t="s">
        <v>7</v>
      </c>
      <c r="C563">
        <v>32.68</v>
      </c>
      <c r="D563" t="str">
        <f t="shared" si="9"/>
        <v>Obese</v>
      </c>
      <c r="E563">
        <v>0</v>
      </c>
      <c r="F563" t="s">
        <v>11</v>
      </c>
      <c r="G563" t="s">
        <v>14</v>
      </c>
      <c r="H563">
        <v>10923.933199999999</v>
      </c>
    </row>
    <row r="564" spans="1:8" x14ac:dyDescent="0.3">
      <c r="A564">
        <v>27</v>
      </c>
      <c r="B564" t="s">
        <v>10</v>
      </c>
      <c r="C564">
        <v>30.5</v>
      </c>
      <c r="D564" t="str">
        <f t="shared" si="9"/>
        <v>Obese</v>
      </c>
      <c r="E564">
        <v>0</v>
      </c>
      <c r="F564" t="s">
        <v>11</v>
      </c>
      <c r="G564" t="s">
        <v>9</v>
      </c>
      <c r="H564">
        <v>2494.0219999999999</v>
      </c>
    </row>
    <row r="565" spans="1:8" x14ac:dyDescent="0.3">
      <c r="A565">
        <v>50</v>
      </c>
      <c r="B565" t="s">
        <v>10</v>
      </c>
      <c r="C565">
        <v>44.77</v>
      </c>
      <c r="D565" t="str">
        <f t="shared" si="9"/>
        <v>Obese</v>
      </c>
      <c r="E565">
        <v>1</v>
      </c>
      <c r="F565" t="s">
        <v>11</v>
      </c>
      <c r="G565" t="s">
        <v>12</v>
      </c>
      <c r="H565">
        <v>9058.7302999999993</v>
      </c>
    </row>
    <row r="566" spans="1:8" x14ac:dyDescent="0.3">
      <c r="A566">
        <v>18</v>
      </c>
      <c r="B566" t="s">
        <v>7</v>
      </c>
      <c r="C566">
        <v>32.119999999999997</v>
      </c>
      <c r="D566" t="str">
        <f t="shared" si="9"/>
        <v>Obese</v>
      </c>
      <c r="E566">
        <v>2</v>
      </c>
      <c r="F566" t="s">
        <v>11</v>
      </c>
      <c r="G566" t="s">
        <v>12</v>
      </c>
      <c r="H566">
        <v>2801.2588000000001</v>
      </c>
    </row>
    <row r="567" spans="1:8" x14ac:dyDescent="0.3">
      <c r="A567">
        <v>19</v>
      </c>
      <c r="B567" t="s">
        <v>7</v>
      </c>
      <c r="C567">
        <v>30.495000000000001</v>
      </c>
      <c r="D567" t="str">
        <f t="shared" si="9"/>
        <v>Obese</v>
      </c>
      <c r="E567">
        <v>0</v>
      </c>
      <c r="F567" t="s">
        <v>11</v>
      </c>
      <c r="G567" t="s">
        <v>13</v>
      </c>
      <c r="H567">
        <v>2128.4310500000001</v>
      </c>
    </row>
    <row r="568" spans="1:8" x14ac:dyDescent="0.3">
      <c r="A568">
        <v>38</v>
      </c>
      <c r="B568" t="s">
        <v>7</v>
      </c>
      <c r="C568">
        <v>40.564999999999998</v>
      </c>
      <c r="D568" t="str">
        <f t="shared" si="9"/>
        <v>Obese</v>
      </c>
      <c r="E568">
        <v>1</v>
      </c>
      <c r="F568" t="s">
        <v>11</v>
      </c>
      <c r="G568" t="s">
        <v>13</v>
      </c>
      <c r="H568">
        <v>6373.55735</v>
      </c>
    </row>
    <row r="569" spans="1:8" x14ac:dyDescent="0.3">
      <c r="A569">
        <v>41</v>
      </c>
      <c r="B569" t="s">
        <v>10</v>
      </c>
      <c r="C569">
        <v>30.59</v>
      </c>
      <c r="D569" t="str">
        <f t="shared" si="9"/>
        <v>Obese</v>
      </c>
      <c r="E569">
        <v>2</v>
      </c>
      <c r="F569" t="s">
        <v>11</v>
      </c>
      <c r="G569" t="s">
        <v>13</v>
      </c>
      <c r="H569">
        <v>7256.7231000000002</v>
      </c>
    </row>
    <row r="570" spans="1:8" x14ac:dyDescent="0.3">
      <c r="A570">
        <v>49</v>
      </c>
      <c r="B570" t="s">
        <v>7</v>
      </c>
      <c r="C570">
        <v>31.9</v>
      </c>
      <c r="D570" t="str">
        <f t="shared" si="9"/>
        <v>Obese</v>
      </c>
      <c r="E570">
        <v>5</v>
      </c>
      <c r="F570" t="s">
        <v>11</v>
      </c>
      <c r="G570" t="s">
        <v>9</v>
      </c>
      <c r="H570">
        <v>11552.904</v>
      </c>
    </row>
    <row r="571" spans="1:8" x14ac:dyDescent="0.3">
      <c r="A571">
        <v>48</v>
      </c>
      <c r="B571" t="s">
        <v>10</v>
      </c>
      <c r="C571">
        <v>40.564999999999998</v>
      </c>
      <c r="D571" t="str">
        <f t="shared" si="9"/>
        <v>Obese</v>
      </c>
      <c r="E571">
        <v>2</v>
      </c>
      <c r="F571" t="s">
        <v>8</v>
      </c>
      <c r="G571" t="s">
        <v>13</v>
      </c>
      <c r="H571">
        <v>45702.022349999999</v>
      </c>
    </row>
    <row r="572" spans="1:8" x14ac:dyDescent="0.3">
      <c r="A572">
        <v>31</v>
      </c>
      <c r="B572" t="s">
        <v>7</v>
      </c>
      <c r="C572">
        <v>29.1</v>
      </c>
      <c r="D572" t="str">
        <f t="shared" si="9"/>
        <v>Overweight</v>
      </c>
      <c r="E572">
        <v>0</v>
      </c>
      <c r="F572" t="s">
        <v>11</v>
      </c>
      <c r="G572" t="s">
        <v>9</v>
      </c>
      <c r="H572">
        <v>3761.2919999999999</v>
      </c>
    </row>
    <row r="573" spans="1:8" x14ac:dyDescent="0.3">
      <c r="A573">
        <v>18</v>
      </c>
      <c r="B573" t="s">
        <v>7</v>
      </c>
      <c r="C573">
        <v>37.29</v>
      </c>
      <c r="D573" t="str">
        <f t="shared" si="9"/>
        <v>Obese</v>
      </c>
      <c r="E573">
        <v>1</v>
      </c>
      <c r="F573" t="s">
        <v>11</v>
      </c>
      <c r="G573" t="s">
        <v>12</v>
      </c>
      <c r="H573">
        <v>2219.4450999999999</v>
      </c>
    </row>
    <row r="574" spans="1:8" x14ac:dyDescent="0.3">
      <c r="A574">
        <v>30</v>
      </c>
      <c r="B574" t="s">
        <v>7</v>
      </c>
      <c r="C574">
        <v>43.12</v>
      </c>
      <c r="D574" t="str">
        <f t="shared" si="9"/>
        <v>Obese</v>
      </c>
      <c r="E574">
        <v>2</v>
      </c>
      <c r="F574" t="s">
        <v>11</v>
      </c>
      <c r="G574" t="s">
        <v>12</v>
      </c>
      <c r="H574">
        <v>4753.6368000000002</v>
      </c>
    </row>
    <row r="575" spans="1:8" x14ac:dyDescent="0.3">
      <c r="A575">
        <v>62</v>
      </c>
      <c r="B575" t="s">
        <v>7</v>
      </c>
      <c r="C575">
        <v>36.86</v>
      </c>
      <c r="D575" t="str">
        <f t="shared" si="9"/>
        <v>Obese</v>
      </c>
      <c r="E575">
        <v>1</v>
      </c>
      <c r="F575" t="s">
        <v>11</v>
      </c>
      <c r="G575" t="s">
        <v>14</v>
      </c>
      <c r="H575">
        <v>31620.001059999999</v>
      </c>
    </row>
    <row r="576" spans="1:8" x14ac:dyDescent="0.3">
      <c r="A576">
        <v>57</v>
      </c>
      <c r="B576" t="s">
        <v>7</v>
      </c>
      <c r="C576">
        <v>34.295000000000002</v>
      </c>
      <c r="D576" t="str">
        <f t="shared" si="9"/>
        <v>Obese</v>
      </c>
      <c r="E576">
        <v>2</v>
      </c>
      <c r="F576" t="s">
        <v>11</v>
      </c>
      <c r="G576" t="s">
        <v>14</v>
      </c>
      <c r="H576">
        <v>13224.057049999999</v>
      </c>
    </row>
    <row r="577" spans="1:8" x14ac:dyDescent="0.3">
      <c r="A577">
        <v>58</v>
      </c>
      <c r="B577" t="s">
        <v>7</v>
      </c>
      <c r="C577">
        <v>27.17</v>
      </c>
      <c r="D577" t="str">
        <f t="shared" si="9"/>
        <v>Overweight</v>
      </c>
      <c r="E577">
        <v>0</v>
      </c>
      <c r="F577" t="s">
        <v>11</v>
      </c>
      <c r="G577" t="s">
        <v>13</v>
      </c>
      <c r="H577">
        <v>12222.898300000001</v>
      </c>
    </row>
    <row r="578" spans="1:8" x14ac:dyDescent="0.3">
      <c r="A578">
        <v>22</v>
      </c>
      <c r="B578" t="s">
        <v>10</v>
      </c>
      <c r="C578">
        <v>26.84</v>
      </c>
      <c r="D578" t="str">
        <f t="shared" si="9"/>
        <v>Overweight</v>
      </c>
      <c r="E578">
        <v>0</v>
      </c>
      <c r="F578" t="s">
        <v>11</v>
      </c>
      <c r="G578" t="s">
        <v>12</v>
      </c>
      <c r="H578">
        <v>1664.9996000000001</v>
      </c>
    </row>
    <row r="579" spans="1:8" x14ac:dyDescent="0.3">
      <c r="A579">
        <v>31</v>
      </c>
      <c r="B579" t="s">
        <v>7</v>
      </c>
      <c r="C579">
        <v>38.094999999999999</v>
      </c>
      <c r="D579" t="str">
        <f t="shared" si="9"/>
        <v>Obese</v>
      </c>
      <c r="E579">
        <v>1</v>
      </c>
      <c r="F579" t="s">
        <v>8</v>
      </c>
      <c r="G579" t="s">
        <v>14</v>
      </c>
      <c r="H579">
        <v>58571.074480000003</v>
      </c>
    </row>
    <row r="580" spans="1:8" x14ac:dyDescent="0.3">
      <c r="A580">
        <v>52</v>
      </c>
      <c r="B580" t="s">
        <v>10</v>
      </c>
      <c r="C580">
        <v>30.2</v>
      </c>
      <c r="D580" t="str">
        <f t="shared" si="9"/>
        <v>Obese</v>
      </c>
      <c r="E580">
        <v>1</v>
      </c>
      <c r="F580" t="s">
        <v>11</v>
      </c>
      <c r="G580" t="s">
        <v>9</v>
      </c>
      <c r="H580">
        <v>9724.5300000000007</v>
      </c>
    </row>
    <row r="581" spans="1:8" x14ac:dyDescent="0.3">
      <c r="A581">
        <v>25</v>
      </c>
      <c r="B581" t="s">
        <v>7</v>
      </c>
      <c r="C581">
        <v>23.465</v>
      </c>
      <c r="D581" t="str">
        <f t="shared" si="9"/>
        <v>Normal</v>
      </c>
      <c r="E581">
        <v>0</v>
      </c>
      <c r="F581" t="s">
        <v>11</v>
      </c>
      <c r="G581" t="s">
        <v>14</v>
      </c>
      <c r="H581">
        <v>3206.4913499999998</v>
      </c>
    </row>
    <row r="582" spans="1:8" x14ac:dyDescent="0.3">
      <c r="A582">
        <v>59</v>
      </c>
      <c r="B582" t="s">
        <v>10</v>
      </c>
      <c r="C582">
        <v>25.46</v>
      </c>
      <c r="D582" t="str">
        <f t="shared" si="9"/>
        <v>Overweight</v>
      </c>
      <c r="E582">
        <v>1</v>
      </c>
      <c r="F582" t="s">
        <v>11</v>
      </c>
      <c r="G582" t="s">
        <v>14</v>
      </c>
      <c r="H582">
        <v>12913.992399999999</v>
      </c>
    </row>
    <row r="583" spans="1:8" x14ac:dyDescent="0.3">
      <c r="A583">
        <v>19</v>
      </c>
      <c r="B583" t="s">
        <v>10</v>
      </c>
      <c r="C583">
        <v>30.59</v>
      </c>
      <c r="D583" t="str">
        <f t="shared" si="9"/>
        <v>Obese</v>
      </c>
      <c r="E583">
        <v>0</v>
      </c>
      <c r="F583" t="s">
        <v>11</v>
      </c>
      <c r="G583" t="s">
        <v>13</v>
      </c>
      <c r="H583">
        <v>1639.5631000000001</v>
      </c>
    </row>
    <row r="584" spans="1:8" x14ac:dyDescent="0.3">
      <c r="A584">
        <v>39</v>
      </c>
      <c r="B584" t="s">
        <v>10</v>
      </c>
      <c r="C584">
        <v>45.43</v>
      </c>
      <c r="D584" t="str">
        <f t="shared" si="9"/>
        <v>Obese</v>
      </c>
      <c r="E584">
        <v>2</v>
      </c>
      <c r="F584" t="s">
        <v>11</v>
      </c>
      <c r="G584" t="s">
        <v>12</v>
      </c>
      <c r="H584">
        <v>6356.2707</v>
      </c>
    </row>
    <row r="585" spans="1:8" x14ac:dyDescent="0.3">
      <c r="A585">
        <v>32</v>
      </c>
      <c r="B585" t="s">
        <v>7</v>
      </c>
      <c r="C585">
        <v>23.65</v>
      </c>
      <c r="D585" t="str">
        <f t="shared" si="9"/>
        <v>Normal</v>
      </c>
      <c r="E585">
        <v>1</v>
      </c>
      <c r="F585" t="s">
        <v>11</v>
      </c>
      <c r="G585" t="s">
        <v>12</v>
      </c>
      <c r="H585">
        <v>17626.239509999999</v>
      </c>
    </row>
    <row r="586" spans="1:8" x14ac:dyDescent="0.3">
      <c r="A586">
        <v>19</v>
      </c>
      <c r="B586" t="s">
        <v>10</v>
      </c>
      <c r="C586">
        <v>20.7</v>
      </c>
      <c r="D586" t="str">
        <f t="shared" si="9"/>
        <v>Normal</v>
      </c>
      <c r="E586">
        <v>0</v>
      </c>
      <c r="F586" t="s">
        <v>11</v>
      </c>
      <c r="G586" t="s">
        <v>9</v>
      </c>
      <c r="H586">
        <v>1242.816</v>
      </c>
    </row>
    <row r="587" spans="1:8" x14ac:dyDescent="0.3">
      <c r="A587">
        <v>33</v>
      </c>
      <c r="B587" t="s">
        <v>7</v>
      </c>
      <c r="C587">
        <v>28.27</v>
      </c>
      <c r="D587" t="str">
        <f t="shared" si="9"/>
        <v>Overweight</v>
      </c>
      <c r="E587">
        <v>1</v>
      </c>
      <c r="F587" t="s">
        <v>11</v>
      </c>
      <c r="G587" t="s">
        <v>12</v>
      </c>
      <c r="H587">
        <v>4779.6022999999996</v>
      </c>
    </row>
    <row r="588" spans="1:8" x14ac:dyDescent="0.3">
      <c r="A588">
        <v>21</v>
      </c>
      <c r="B588" t="s">
        <v>10</v>
      </c>
      <c r="C588">
        <v>20.234999999999999</v>
      </c>
      <c r="D588" t="str">
        <f t="shared" si="9"/>
        <v>Normal</v>
      </c>
      <c r="E588">
        <v>3</v>
      </c>
      <c r="F588" t="s">
        <v>11</v>
      </c>
      <c r="G588" t="s">
        <v>14</v>
      </c>
      <c r="H588">
        <v>3861.2096499999998</v>
      </c>
    </row>
    <row r="589" spans="1:8" x14ac:dyDescent="0.3">
      <c r="A589">
        <v>34</v>
      </c>
      <c r="B589" t="s">
        <v>7</v>
      </c>
      <c r="C589">
        <v>30.21</v>
      </c>
      <c r="D589" t="str">
        <f t="shared" si="9"/>
        <v>Obese</v>
      </c>
      <c r="E589">
        <v>1</v>
      </c>
      <c r="F589" t="s">
        <v>8</v>
      </c>
      <c r="G589" t="s">
        <v>13</v>
      </c>
      <c r="H589">
        <v>43943.876100000001</v>
      </c>
    </row>
    <row r="590" spans="1:8" x14ac:dyDescent="0.3">
      <c r="A590">
        <v>61</v>
      </c>
      <c r="B590" t="s">
        <v>7</v>
      </c>
      <c r="C590">
        <v>35.909999999999997</v>
      </c>
      <c r="D590" t="str">
        <f t="shared" si="9"/>
        <v>Obese</v>
      </c>
      <c r="E590">
        <v>0</v>
      </c>
      <c r="F590" t="s">
        <v>11</v>
      </c>
      <c r="G590" t="s">
        <v>14</v>
      </c>
      <c r="H590">
        <v>13635.6379</v>
      </c>
    </row>
    <row r="591" spans="1:8" x14ac:dyDescent="0.3">
      <c r="A591">
        <v>38</v>
      </c>
      <c r="B591" t="s">
        <v>7</v>
      </c>
      <c r="C591">
        <v>30.69</v>
      </c>
      <c r="D591" t="str">
        <f t="shared" si="9"/>
        <v>Obese</v>
      </c>
      <c r="E591">
        <v>1</v>
      </c>
      <c r="F591" t="s">
        <v>11</v>
      </c>
      <c r="G591" t="s">
        <v>12</v>
      </c>
      <c r="H591">
        <v>5976.8311000000003</v>
      </c>
    </row>
    <row r="592" spans="1:8" x14ac:dyDescent="0.3">
      <c r="A592">
        <v>58</v>
      </c>
      <c r="B592" t="s">
        <v>7</v>
      </c>
      <c r="C592">
        <v>29</v>
      </c>
      <c r="D592" t="str">
        <f t="shared" si="9"/>
        <v>Overweight</v>
      </c>
      <c r="E592">
        <v>0</v>
      </c>
      <c r="F592" t="s">
        <v>11</v>
      </c>
      <c r="G592" t="s">
        <v>9</v>
      </c>
      <c r="H592">
        <v>11842.441999999999</v>
      </c>
    </row>
    <row r="593" spans="1:8" x14ac:dyDescent="0.3">
      <c r="A593">
        <v>47</v>
      </c>
      <c r="B593" t="s">
        <v>10</v>
      </c>
      <c r="C593">
        <v>19.57</v>
      </c>
      <c r="D593" t="str">
        <f t="shared" si="9"/>
        <v>Normal</v>
      </c>
      <c r="E593">
        <v>1</v>
      </c>
      <c r="F593" t="s">
        <v>11</v>
      </c>
      <c r="G593" t="s">
        <v>13</v>
      </c>
      <c r="H593">
        <v>8428.0692999999992</v>
      </c>
    </row>
    <row r="594" spans="1:8" x14ac:dyDescent="0.3">
      <c r="A594">
        <v>20</v>
      </c>
      <c r="B594" t="s">
        <v>10</v>
      </c>
      <c r="C594">
        <v>31.13</v>
      </c>
      <c r="D594" t="str">
        <f t="shared" si="9"/>
        <v>Obese</v>
      </c>
      <c r="E594">
        <v>2</v>
      </c>
      <c r="F594" t="s">
        <v>11</v>
      </c>
      <c r="G594" t="s">
        <v>12</v>
      </c>
      <c r="H594">
        <v>2566.4706999999999</v>
      </c>
    </row>
    <row r="595" spans="1:8" x14ac:dyDescent="0.3">
      <c r="A595">
        <v>21</v>
      </c>
      <c r="B595" t="s">
        <v>7</v>
      </c>
      <c r="C595">
        <v>21.85</v>
      </c>
      <c r="D595" t="str">
        <f t="shared" si="9"/>
        <v>Normal</v>
      </c>
      <c r="E595">
        <v>1</v>
      </c>
      <c r="F595" t="s">
        <v>8</v>
      </c>
      <c r="G595" t="s">
        <v>14</v>
      </c>
      <c r="H595">
        <v>15359.104499999999</v>
      </c>
    </row>
    <row r="596" spans="1:8" x14ac:dyDescent="0.3">
      <c r="A596">
        <v>41</v>
      </c>
      <c r="B596" t="s">
        <v>10</v>
      </c>
      <c r="C596">
        <v>40.26</v>
      </c>
      <c r="D596" t="str">
        <f t="shared" si="9"/>
        <v>Obese</v>
      </c>
      <c r="E596">
        <v>0</v>
      </c>
      <c r="F596" t="s">
        <v>11</v>
      </c>
      <c r="G596" t="s">
        <v>12</v>
      </c>
      <c r="H596">
        <v>5709.1643999999997</v>
      </c>
    </row>
    <row r="597" spans="1:8" x14ac:dyDescent="0.3">
      <c r="A597">
        <v>46</v>
      </c>
      <c r="B597" t="s">
        <v>7</v>
      </c>
      <c r="C597">
        <v>33.725000000000001</v>
      </c>
      <c r="D597" t="str">
        <f t="shared" ref="D597:D660" si="10">IF(C597&lt;18.5,"Underweight",IF(C597&lt;24.9,"Normal",IF(C597&lt;30,"Overweight","Obese")))</f>
        <v>Obese</v>
      </c>
      <c r="E597">
        <v>1</v>
      </c>
      <c r="F597" t="s">
        <v>11</v>
      </c>
      <c r="G597" t="s">
        <v>14</v>
      </c>
      <c r="H597">
        <v>8823.9857499999998</v>
      </c>
    </row>
    <row r="598" spans="1:8" x14ac:dyDescent="0.3">
      <c r="A598">
        <v>42</v>
      </c>
      <c r="B598" t="s">
        <v>7</v>
      </c>
      <c r="C598">
        <v>29.48</v>
      </c>
      <c r="D598" t="str">
        <f t="shared" si="10"/>
        <v>Overweight</v>
      </c>
      <c r="E598">
        <v>2</v>
      </c>
      <c r="F598" t="s">
        <v>11</v>
      </c>
      <c r="G598" t="s">
        <v>12</v>
      </c>
      <c r="H598">
        <v>7640.3091999999997</v>
      </c>
    </row>
    <row r="599" spans="1:8" x14ac:dyDescent="0.3">
      <c r="A599">
        <v>34</v>
      </c>
      <c r="B599" t="s">
        <v>7</v>
      </c>
      <c r="C599">
        <v>33.25</v>
      </c>
      <c r="D599" t="str">
        <f t="shared" si="10"/>
        <v>Obese</v>
      </c>
      <c r="E599">
        <v>1</v>
      </c>
      <c r="F599" t="s">
        <v>11</v>
      </c>
      <c r="G599" t="s">
        <v>14</v>
      </c>
      <c r="H599">
        <v>5594.8455000000004</v>
      </c>
    </row>
    <row r="600" spans="1:8" x14ac:dyDescent="0.3">
      <c r="A600">
        <v>43</v>
      </c>
      <c r="B600" t="s">
        <v>10</v>
      </c>
      <c r="C600">
        <v>32.6</v>
      </c>
      <c r="D600" t="str">
        <f t="shared" si="10"/>
        <v>Obese</v>
      </c>
      <c r="E600">
        <v>2</v>
      </c>
      <c r="F600" t="s">
        <v>11</v>
      </c>
      <c r="G600" t="s">
        <v>9</v>
      </c>
      <c r="H600">
        <v>7441.5010000000002</v>
      </c>
    </row>
    <row r="601" spans="1:8" x14ac:dyDescent="0.3">
      <c r="A601">
        <v>52</v>
      </c>
      <c r="B601" t="s">
        <v>7</v>
      </c>
      <c r="C601">
        <v>37.524999999999999</v>
      </c>
      <c r="D601" t="str">
        <f t="shared" si="10"/>
        <v>Obese</v>
      </c>
      <c r="E601">
        <v>2</v>
      </c>
      <c r="F601" t="s">
        <v>11</v>
      </c>
      <c r="G601" t="s">
        <v>13</v>
      </c>
      <c r="H601">
        <v>33471.971890000001</v>
      </c>
    </row>
    <row r="602" spans="1:8" x14ac:dyDescent="0.3">
      <c r="A602">
        <v>18</v>
      </c>
      <c r="B602" t="s">
        <v>7</v>
      </c>
      <c r="C602">
        <v>39.159999999999997</v>
      </c>
      <c r="D602" t="str">
        <f t="shared" si="10"/>
        <v>Obese</v>
      </c>
      <c r="E602">
        <v>0</v>
      </c>
      <c r="F602" t="s">
        <v>11</v>
      </c>
      <c r="G602" t="s">
        <v>12</v>
      </c>
      <c r="H602">
        <v>1633.0444</v>
      </c>
    </row>
    <row r="603" spans="1:8" x14ac:dyDescent="0.3">
      <c r="A603">
        <v>51</v>
      </c>
      <c r="B603" t="s">
        <v>10</v>
      </c>
      <c r="C603">
        <v>31.635000000000002</v>
      </c>
      <c r="D603" t="str">
        <f t="shared" si="10"/>
        <v>Obese</v>
      </c>
      <c r="E603">
        <v>0</v>
      </c>
      <c r="F603" t="s">
        <v>11</v>
      </c>
      <c r="G603" t="s">
        <v>13</v>
      </c>
      <c r="H603">
        <v>9174.1356500000002</v>
      </c>
    </row>
    <row r="604" spans="1:8" x14ac:dyDescent="0.3">
      <c r="A604">
        <v>56</v>
      </c>
      <c r="B604" t="s">
        <v>7</v>
      </c>
      <c r="C604">
        <v>25.3</v>
      </c>
      <c r="D604" t="str">
        <f t="shared" si="10"/>
        <v>Overweight</v>
      </c>
      <c r="E604">
        <v>0</v>
      </c>
      <c r="F604" t="s">
        <v>11</v>
      </c>
      <c r="G604" t="s">
        <v>9</v>
      </c>
      <c r="H604">
        <v>11070.535</v>
      </c>
    </row>
    <row r="605" spans="1:8" x14ac:dyDescent="0.3">
      <c r="A605">
        <v>64</v>
      </c>
      <c r="B605" t="s">
        <v>7</v>
      </c>
      <c r="C605">
        <v>39.049999999999997</v>
      </c>
      <c r="D605" t="str">
        <f t="shared" si="10"/>
        <v>Obese</v>
      </c>
      <c r="E605">
        <v>3</v>
      </c>
      <c r="F605" t="s">
        <v>11</v>
      </c>
      <c r="G605" t="s">
        <v>12</v>
      </c>
      <c r="H605">
        <v>16085.127500000001</v>
      </c>
    </row>
    <row r="606" spans="1:8" x14ac:dyDescent="0.3">
      <c r="A606">
        <v>19</v>
      </c>
      <c r="B606" t="s">
        <v>7</v>
      </c>
      <c r="C606">
        <v>28.31</v>
      </c>
      <c r="D606" t="str">
        <f t="shared" si="10"/>
        <v>Overweight</v>
      </c>
      <c r="E606">
        <v>0</v>
      </c>
      <c r="F606" t="s">
        <v>8</v>
      </c>
      <c r="G606" t="s">
        <v>13</v>
      </c>
      <c r="H606">
        <v>17468.983899999999</v>
      </c>
    </row>
    <row r="607" spans="1:8" x14ac:dyDescent="0.3">
      <c r="A607">
        <v>51</v>
      </c>
      <c r="B607" t="s">
        <v>7</v>
      </c>
      <c r="C607">
        <v>34.1</v>
      </c>
      <c r="D607" t="str">
        <f t="shared" si="10"/>
        <v>Obese</v>
      </c>
      <c r="E607">
        <v>0</v>
      </c>
      <c r="F607" t="s">
        <v>11</v>
      </c>
      <c r="G607" t="s">
        <v>12</v>
      </c>
      <c r="H607">
        <v>9283.5619999999999</v>
      </c>
    </row>
    <row r="608" spans="1:8" x14ac:dyDescent="0.3">
      <c r="A608">
        <v>27</v>
      </c>
      <c r="B608" t="s">
        <v>7</v>
      </c>
      <c r="C608">
        <v>25.175000000000001</v>
      </c>
      <c r="D608" t="str">
        <f t="shared" si="10"/>
        <v>Overweight</v>
      </c>
      <c r="E608">
        <v>0</v>
      </c>
      <c r="F608" t="s">
        <v>11</v>
      </c>
      <c r="G608" t="s">
        <v>14</v>
      </c>
      <c r="H608">
        <v>3558.6202499999999</v>
      </c>
    </row>
    <row r="609" spans="1:8" x14ac:dyDescent="0.3">
      <c r="A609">
        <v>59</v>
      </c>
      <c r="B609" t="s">
        <v>7</v>
      </c>
      <c r="C609">
        <v>23.655000000000001</v>
      </c>
      <c r="D609" t="str">
        <f t="shared" si="10"/>
        <v>Normal</v>
      </c>
      <c r="E609">
        <v>0</v>
      </c>
      <c r="F609" t="s">
        <v>8</v>
      </c>
      <c r="G609" t="s">
        <v>13</v>
      </c>
      <c r="H609">
        <v>25678.778450000002</v>
      </c>
    </row>
    <row r="610" spans="1:8" x14ac:dyDescent="0.3">
      <c r="A610">
        <v>28</v>
      </c>
      <c r="B610" t="s">
        <v>10</v>
      </c>
      <c r="C610">
        <v>26.98</v>
      </c>
      <c r="D610" t="str">
        <f t="shared" si="10"/>
        <v>Overweight</v>
      </c>
      <c r="E610">
        <v>2</v>
      </c>
      <c r="F610" t="s">
        <v>11</v>
      </c>
      <c r="G610" t="s">
        <v>14</v>
      </c>
      <c r="H610">
        <v>4435.0941999999995</v>
      </c>
    </row>
    <row r="611" spans="1:8" x14ac:dyDescent="0.3">
      <c r="A611">
        <v>30</v>
      </c>
      <c r="B611" t="s">
        <v>10</v>
      </c>
      <c r="C611">
        <v>37.799999999999997</v>
      </c>
      <c r="D611" t="str">
        <f t="shared" si="10"/>
        <v>Obese</v>
      </c>
      <c r="E611">
        <v>2</v>
      </c>
      <c r="F611" t="s">
        <v>8</v>
      </c>
      <c r="G611" t="s">
        <v>9</v>
      </c>
      <c r="H611">
        <v>39241.442000000003</v>
      </c>
    </row>
    <row r="612" spans="1:8" x14ac:dyDescent="0.3">
      <c r="A612">
        <v>47</v>
      </c>
      <c r="B612" t="s">
        <v>7</v>
      </c>
      <c r="C612">
        <v>29.37</v>
      </c>
      <c r="D612" t="str">
        <f t="shared" si="10"/>
        <v>Overweight</v>
      </c>
      <c r="E612">
        <v>1</v>
      </c>
      <c r="F612" t="s">
        <v>11</v>
      </c>
      <c r="G612" t="s">
        <v>12</v>
      </c>
      <c r="H612">
        <v>8547.6913000000004</v>
      </c>
    </row>
    <row r="613" spans="1:8" x14ac:dyDescent="0.3">
      <c r="A613">
        <v>38</v>
      </c>
      <c r="B613" t="s">
        <v>7</v>
      </c>
      <c r="C613">
        <v>34.799999999999997</v>
      </c>
      <c r="D613" t="str">
        <f t="shared" si="10"/>
        <v>Obese</v>
      </c>
      <c r="E613">
        <v>2</v>
      </c>
      <c r="F613" t="s">
        <v>11</v>
      </c>
      <c r="G613" t="s">
        <v>9</v>
      </c>
      <c r="H613">
        <v>6571.5439999999999</v>
      </c>
    </row>
    <row r="614" spans="1:8" x14ac:dyDescent="0.3">
      <c r="A614">
        <v>18</v>
      </c>
      <c r="B614" t="s">
        <v>7</v>
      </c>
      <c r="C614">
        <v>33.155000000000001</v>
      </c>
      <c r="D614" t="str">
        <f t="shared" si="10"/>
        <v>Obese</v>
      </c>
      <c r="E614">
        <v>0</v>
      </c>
      <c r="F614" t="s">
        <v>11</v>
      </c>
      <c r="G614" t="s">
        <v>14</v>
      </c>
      <c r="H614">
        <v>2207.6974500000001</v>
      </c>
    </row>
    <row r="615" spans="1:8" x14ac:dyDescent="0.3">
      <c r="A615">
        <v>34</v>
      </c>
      <c r="B615" t="s">
        <v>7</v>
      </c>
      <c r="C615">
        <v>19</v>
      </c>
      <c r="D615" t="str">
        <f t="shared" si="10"/>
        <v>Normal</v>
      </c>
      <c r="E615">
        <v>3</v>
      </c>
      <c r="F615" t="s">
        <v>11</v>
      </c>
      <c r="G615" t="s">
        <v>14</v>
      </c>
      <c r="H615">
        <v>6753.0379999999996</v>
      </c>
    </row>
    <row r="616" spans="1:8" x14ac:dyDescent="0.3">
      <c r="A616">
        <v>20</v>
      </c>
      <c r="B616" t="s">
        <v>7</v>
      </c>
      <c r="C616">
        <v>33</v>
      </c>
      <c r="D616" t="str">
        <f t="shared" si="10"/>
        <v>Obese</v>
      </c>
      <c r="E616">
        <v>0</v>
      </c>
      <c r="F616" t="s">
        <v>11</v>
      </c>
      <c r="G616" t="s">
        <v>12</v>
      </c>
      <c r="H616">
        <v>1880.07</v>
      </c>
    </row>
    <row r="617" spans="1:8" x14ac:dyDescent="0.3">
      <c r="A617">
        <v>47</v>
      </c>
      <c r="B617" t="s">
        <v>7</v>
      </c>
      <c r="C617">
        <v>36.630000000000003</v>
      </c>
      <c r="D617" t="str">
        <f t="shared" si="10"/>
        <v>Obese</v>
      </c>
      <c r="E617">
        <v>1</v>
      </c>
      <c r="F617" t="s">
        <v>8</v>
      </c>
      <c r="G617" t="s">
        <v>12</v>
      </c>
      <c r="H617">
        <v>42969.852700000003</v>
      </c>
    </row>
    <row r="618" spans="1:8" x14ac:dyDescent="0.3">
      <c r="A618">
        <v>56</v>
      </c>
      <c r="B618" t="s">
        <v>7</v>
      </c>
      <c r="C618">
        <v>28.594999999999999</v>
      </c>
      <c r="D618" t="str">
        <f t="shared" si="10"/>
        <v>Overweight</v>
      </c>
      <c r="E618">
        <v>0</v>
      </c>
      <c r="F618" t="s">
        <v>11</v>
      </c>
      <c r="G618" t="s">
        <v>14</v>
      </c>
      <c r="H618">
        <v>11658.11505</v>
      </c>
    </row>
    <row r="619" spans="1:8" x14ac:dyDescent="0.3">
      <c r="A619">
        <v>49</v>
      </c>
      <c r="B619" t="s">
        <v>10</v>
      </c>
      <c r="C619">
        <v>25.6</v>
      </c>
      <c r="D619" t="str">
        <f t="shared" si="10"/>
        <v>Overweight</v>
      </c>
      <c r="E619">
        <v>2</v>
      </c>
      <c r="F619" t="s">
        <v>8</v>
      </c>
      <c r="G619" t="s">
        <v>9</v>
      </c>
      <c r="H619">
        <v>23306.546999999999</v>
      </c>
    </row>
    <row r="620" spans="1:8" x14ac:dyDescent="0.3">
      <c r="A620">
        <v>19</v>
      </c>
      <c r="B620" t="s">
        <v>7</v>
      </c>
      <c r="C620">
        <v>33.11</v>
      </c>
      <c r="D620" t="str">
        <f t="shared" si="10"/>
        <v>Obese</v>
      </c>
      <c r="E620">
        <v>0</v>
      </c>
      <c r="F620" t="s">
        <v>8</v>
      </c>
      <c r="G620" t="s">
        <v>12</v>
      </c>
      <c r="H620">
        <v>34439.855900000002</v>
      </c>
    </row>
    <row r="621" spans="1:8" x14ac:dyDescent="0.3">
      <c r="A621">
        <v>55</v>
      </c>
      <c r="B621" t="s">
        <v>7</v>
      </c>
      <c r="C621">
        <v>37.1</v>
      </c>
      <c r="D621" t="str">
        <f t="shared" si="10"/>
        <v>Obese</v>
      </c>
      <c r="E621">
        <v>0</v>
      </c>
      <c r="F621" t="s">
        <v>11</v>
      </c>
      <c r="G621" t="s">
        <v>9</v>
      </c>
      <c r="H621">
        <v>10713.644</v>
      </c>
    </row>
    <row r="622" spans="1:8" x14ac:dyDescent="0.3">
      <c r="A622">
        <v>30</v>
      </c>
      <c r="B622" t="s">
        <v>10</v>
      </c>
      <c r="C622">
        <v>31.4</v>
      </c>
      <c r="D622" t="str">
        <f t="shared" si="10"/>
        <v>Obese</v>
      </c>
      <c r="E622">
        <v>1</v>
      </c>
      <c r="F622" t="s">
        <v>11</v>
      </c>
      <c r="G622" t="s">
        <v>9</v>
      </c>
      <c r="H622">
        <v>3659.346</v>
      </c>
    </row>
    <row r="623" spans="1:8" x14ac:dyDescent="0.3">
      <c r="A623">
        <v>37</v>
      </c>
      <c r="B623" t="s">
        <v>10</v>
      </c>
      <c r="C623">
        <v>34.1</v>
      </c>
      <c r="D623" t="str">
        <f t="shared" si="10"/>
        <v>Obese</v>
      </c>
      <c r="E623">
        <v>4</v>
      </c>
      <c r="F623" t="s">
        <v>8</v>
      </c>
      <c r="G623" t="s">
        <v>9</v>
      </c>
      <c r="H623">
        <v>40182.245999999999</v>
      </c>
    </row>
    <row r="624" spans="1:8" x14ac:dyDescent="0.3">
      <c r="A624">
        <v>49</v>
      </c>
      <c r="B624" t="s">
        <v>7</v>
      </c>
      <c r="C624">
        <v>21.3</v>
      </c>
      <c r="D624" t="str">
        <f t="shared" si="10"/>
        <v>Normal</v>
      </c>
      <c r="E624">
        <v>1</v>
      </c>
      <c r="F624" t="s">
        <v>11</v>
      </c>
      <c r="G624" t="s">
        <v>9</v>
      </c>
      <c r="H624">
        <v>9182.17</v>
      </c>
    </row>
    <row r="625" spans="1:8" x14ac:dyDescent="0.3">
      <c r="A625">
        <v>18</v>
      </c>
      <c r="B625" t="s">
        <v>10</v>
      </c>
      <c r="C625">
        <v>33.534999999999997</v>
      </c>
      <c r="D625" t="str">
        <f t="shared" si="10"/>
        <v>Obese</v>
      </c>
      <c r="E625">
        <v>0</v>
      </c>
      <c r="F625" t="s">
        <v>8</v>
      </c>
      <c r="G625" t="s">
        <v>14</v>
      </c>
      <c r="H625">
        <v>34617.840649999998</v>
      </c>
    </row>
    <row r="626" spans="1:8" x14ac:dyDescent="0.3">
      <c r="A626">
        <v>59</v>
      </c>
      <c r="B626" t="s">
        <v>10</v>
      </c>
      <c r="C626">
        <v>28.785</v>
      </c>
      <c r="D626" t="str">
        <f t="shared" si="10"/>
        <v>Overweight</v>
      </c>
      <c r="E626">
        <v>0</v>
      </c>
      <c r="F626" t="s">
        <v>11</v>
      </c>
      <c r="G626" t="s">
        <v>13</v>
      </c>
      <c r="H626">
        <v>12129.614149999999</v>
      </c>
    </row>
    <row r="627" spans="1:8" x14ac:dyDescent="0.3">
      <c r="A627">
        <v>29</v>
      </c>
      <c r="B627" t="s">
        <v>7</v>
      </c>
      <c r="C627">
        <v>26.03</v>
      </c>
      <c r="D627" t="str">
        <f t="shared" si="10"/>
        <v>Overweight</v>
      </c>
      <c r="E627">
        <v>0</v>
      </c>
      <c r="F627" t="s">
        <v>11</v>
      </c>
      <c r="G627" t="s">
        <v>13</v>
      </c>
      <c r="H627">
        <v>3736.4647</v>
      </c>
    </row>
    <row r="628" spans="1:8" x14ac:dyDescent="0.3">
      <c r="A628">
        <v>36</v>
      </c>
      <c r="B628" t="s">
        <v>10</v>
      </c>
      <c r="C628">
        <v>28.88</v>
      </c>
      <c r="D628" t="str">
        <f t="shared" si="10"/>
        <v>Overweight</v>
      </c>
      <c r="E628">
        <v>3</v>
      </c>
      <c r="F628" t="s">
        <v>11</v>
      </c>
      <c r="G628" t="s">
        <v>14</v>
      </c>
      <c r="H628">
        <v>6748.5911999999998</v>
      </c>
    </row>
    <row r="629" spans="1:8" x14ac:dyDescent="0.3">
      <c r="A629">
        <v>33</v>
      </c>
      <c r="B629" t="s">
        <v>10</v>
      </c>
      <c r="C629">
        <v>42.46</v>
      </c>
      <c r="D629" t="str">
        <f t="shared" si="10"/>
        <v>Obese</v>
      </c>
      <c r="E629">
        <v>1</v>
      </c>
      <c r="F629" t="s">
        <v>11</v>
      </c>
      <c r="G629" t="s">
        <v>12</v>
      </c>
      <c r="H629">
        <v>11326.71487</v>
      </c>
    </row>
    <row r="630" spans="1:8" x14ac:dyDescent="0.3">
      <c r="A630">
        <v>58</v>
      </c>
      <c r="B630" t="s">
        <v>10</v>
      </c>
      <c r="C630">
        <v>38</v>
      </c>
      <c r="D630" t="str">
        <f t="shared" si="10"/>
        <v>Obese</v>
      </c>
      <c r="E630">
        <v>0</v>
      </c>
      <c r="F630" t="s">
        <v>11</v>
      </c>
      <c r="G630" t="s">
        <v>9</v>
      </c>
      <c r="H630">
        <v>11365.951999999999</v>
      </c>
    </row>
    <row r="631" spans="1:8" x14ac:dyDescent="0.3">
      <c r="A631">
        <v>44</v>
      </c>
      <c r="B631" t="s">
        <v>7</v>
      </c>
      <c r="C631">
        <v>38.950000000000003</v>
      </c>
      <c r="D631" t="str">
        <f t="shared" si="10"/>
        <v>Obese</v>
      </c>
      <c r="E631">
        <v>0</v>
      </c>
      <c r="F631" t="s">
        <v>8</v>
      </c>
      <c r="G631" t="s">
        <v>13</v>
      </c>
      <c r="H631">
        <v>42983.458500000001</v>
      </c>
    </row>
    <row r="632" spans="1:8" x14ac:dyDescent="0.3">
      <c r="A632">
        <v>53</v>
      </c>
      <c r="B632" t="s">
        <v>10</v>
      </c>
      <c r="C632">
        <v>36.1</v>
      </c>
      <c r="D632" t="str">
        <f t="shared" si="10"/>
        <v>Obese</v>
      </c>
      <c r="E632">
        <v>1</v>
      </c>
      <c r="F632" t="s">
        <v>11</v>
      </c>
      <c r="G632" t="s">
        <v>9</v>
      </c>
      <c r="H632">
        <v>10085.846</v>
      </c>
    </row>
    <row r="633" spans="1:8" x14ac:dyDescent="0.3">
      <c r="A633">
        <v>24</v>
      </c>
      <c r="B633" t="s">
        <v>10</v>
      </c>
      <c r="C633">
        <v>29.3</v>
      </c>
      <c r="D633" t="str">
        <f t="shared" si="10"/>
        <v>Overweight</v>
      </c>
      <c r="E633">
        <v>0</v>
      </c>
      <c r="F633" t="s">
        <v>11</v>
      </c>
      <c r="G633" t="s">
        <v>9</v>
      </c>
      <c r="H633">
        <v>1977.8150000000001</v>
      </c>
    </row>
    <row r="634" spans="1:8" x14ac:dyDescent="0.3">
      <c r="A634">
        <v>29</v>
      </c>
      <c r="B634" t="s">
        <v>7</v>
      </c>
      <c r="C634">
        <v>35.53</v>
      </c>
      <c r="D634" t="str">
        <f t="shared" si="10"/>
        <v>Obese</v>
      </c>
      <c r="E634">
        <v>0</v>
      </c>
      <c r="F634" t="s">
        <v>11</v>
      </c>
      <c r="G634" t="s">
        <v>12</v>
      </c>
      <c r="H634">
        <v>3366.6696999999999</v>
      </c>
    </row>
    <row r="635" spans="1:8" x14ac:dyDescent="0.3">
      <c r="A635">
        <v>40</v>
      </c>
      <c r="B635" t="s">
        <v>10</v>
      </c>
      <c r="C635">
        <v>22.704999999999998</v>
      </c>
      <c r="D635" t="str">
        <f t="shared" si="10"/>
        <v>Normal</v>
      </c>
      <c r="E635">
        <v>2</v>
      </c>
      <c r="F635" t="s">
        <v>11</v>
      </c>
      <c r="G635" t="s">
        <v>14</v>
      </c>
      <c r="H635">
        <v>7173.35995</v>
      </c>
    </row>
    <row r="636" spans="1:8" x14ac:dyDescent="0.3">
      <c r="A636">
        <v>51</v>
      </c>
      <c r="B636" t="s">
        <v>10</v>
      </c>
      <c r="C636">
        <v>39.700000000000003</v>
      </c>
      <c r="D636" t="str">
        <f t="shared" si="10"/>
        <v>Obese</v>
      </c>
      <c r="E636">
        <v>1</v>
      </c>
      <c r="F636" t="s">
        <v>11</v>
      </c>
      <c r="G636" t="s">
        <v>9</v>
      </c>
      <c r="H636">
        <v>9391.3459999999995</v>
      </c>
    </row>
    <row r="637" spans="1:8" x14ac:dyDescent="0.3">
      <c r="A637">
        <v>64</v>
      </c>
      <c r="B637" t="s">
        <v>10</v>
      </c>
      <c r="C637">
        <v>38.19</v>
      </c>
      <c r="D637" t="str">
        <f t="shared" si="10"/>
        <v>Obese</v>
      </c>
      <c r="E637">
        <v>0</v>
      </c>
      <c r="F637" t="s">
        <v>11</v>
      </c>
      <c r="G637" t="s">
        <v>14</v>
      </c>
      <c r="H637">
        <v>14410.9321</v>
      </c>
    </row>
    <row r="638" spans="1:8" x14ac:dyDescent="0.3">
      <c r="A638">
        <v>19</v>
      </c>
      <c r="B638" t="s">
        <v>7</v>
      </c>
      <c r="C638">
        <v>24.51</v>
      </c>
      <c r="D638" t="str">
        <f t="shared" si="10"/>
        <v>Normal</v>
      </c>
      <c r="E638">
        <v>1</v>
      </c>
      <c r="F638" t="s">
        <v>11</v>
      </c>
      <c r="G638" t="s">
        <v>13</v>
      </c>
      <c r="H638">
        <v>2709.1118999999999</v>
      </c>
    </row>
    <row r="639" spans="1:8" x14ac:dyDescent="0.3">
      <c r="A639">
        <v>35</v>
      </c>
      <c r="B639" t="s">
        <v>7</v>
      </c>
      <c r="C639">
        <v>38.094999999999999</v>
      </c>
      <c r="D639" t="str">
        <f t="shared" si="10"/>
        <v>Obese</v>
      </c>
      <c r="E639">
        <v>2</v>
      </c>
      <c r="F639" t="s">
        <v>11</v>
      </c>
      <c r="G639" t="s">
        <v>14</v>
      </c>
      <c r="H639">
        <v>24915.046259999999</v>
      </c>
    </row>
    <row r="640" spans="1:8" x14ac:dyDescent="0.3">
      <c r="A640">
        <v>39</v>
      </c>
      <c r="B640" t="s">
        <v>10</v>
      </c>
      <c r="C640">
        <v>26.41</v>
      </c>
      <c r="D640" t="str">
        <f t="shared" si="10"/>
        <v>Overweight</v>
      </c>
      <c r="E640">
        <v>0</v>
      </c>
      <c r="F640" t="s">
        <v>8</v>
      </c>
      <c r="G640" t="s">
        <v>14</v>
      </c>
      <c r="H640">
        <v>20149.322899999999</v>
      </c>
    </row>
    <row r="641" spans="1:8" x14ac:dyDescent="0.3">
      <c r="A641">
        <v>56</v>
      </c>
      <c r="B641" t="s">
        <v>10</v>
      </c>
      <c r="C641">
        <v>33.659999999999997</v>
      </c>
      <c r="D641" t="str">
        <f t="shared" si="10"/>
        <v>Obese</v>
      </c>
      <c r="E641">
        <v>4</v>
      </c>
      <c r="F641" t="s">
        <v>11</v>
      </c>
      <c r="G641" t="s">
        <v>12</v>
      </c>
      <c r="H641">
        <v>12949.1554</v>
      </c>
    </row>
    <row r="642" spans="1:8" x14ac:dyDescent="0.3">
      <c r="A642">
        <v>33</v>
      </c>
      <c r="B642" t="s">
        <v>10</v>
      </c>
      <c r="C642">
        <v>42.4</v>
      </c>
      <c r="D642" t="str">
        <f t="shared" si="10"/>
        <v>Obese</v>
      </c>
      <c r="E642">
        <v>5</v>
      </c>
      <c r="F642" t="s">
        <v>11</v>
      </c>
      <c r="G642" t="s">
        <v>9</v>
      </c>
      <c r="H642">
        <v>6666.2430000000004</v>
      </c>
    </row>
    <row r="643" spans="1:8" x14ac:dyDescent="0.3">
      <c r="A643">
        <v>42</v>
      </c>
      <c r="B643" t="s">
        <v>10</v>
      </c>
      <c r="C643">
        <v>28.31</v>
      </c>
      <c r="D643" t="str">
        <f t="shared" si="10"/>
        <v>Overweight</v>
      </c>
      <c r="E643">
        <v>3</v>
      </c>
      <c r="F643" t="s">
        <v>8</v>
      </c>
      <c r="G643" t="s">
        <v>13</v>
      </c>
      <c r="H643">
        <v>32787.458590000002</v>
      </c>
    </row>
    <row r="644" spans="1:8" x14ac:dyDescent="0.3">
      <c r="A644">
        <v>61</v>
      </c>
      <c r="B644" t="s">
        <v>10</v>
      </c>
      <c r="C644">
        <v>33.914999999999999</v>
      </c>
      <c r="D644" t="str">
        <f t="shared" si="10"/>
        <v>Obese</v>
      </c>
      <c r="E644">
        <v>0</v>
      </c>
      <c r="F644" t="s">
        <v>11</v>
      </c>
      <c r="G644" t="s">
        <v>14</v>
      </c>
      <c r="H644">
        <v>13143.86485</v>
      </c>
    </row>
    <row r="645" spans="1:8" x14ac:dyDescent="0.3">
      <c r="A645">
        <v>23</v>
      </c>
      <c r="B645" t="s">
        <v>7</v>
      </c>
      <c r="C645">
        <v>34.96</v>
      </c>
      <c r="D645" t="str">
        <f t="shared" si="10"/>
        <v>Obese</v>
      </c>
      <c r="E645">
        <v>3</v>
      </c>
      <c r="F645" t="s">
        <v>11</v>
      </c>
      <c r="G645" t="s">
        <v>13</v>
      </c>
      <c r="H645">
        <v>4466.6214</v>
      </c>
    </row>
    <row r="646" spans="1:8" x14ac:dyDescent="0.3">
      <c r="A646">
        <v>43</v>
      </c>
      <c r="B646" t="s">
        <v>10</v>
      </c>
      <c r="C646">
        <v>35.31</v>
      </c>
      <c r="D646" t="str">
        <f t="shared" si="10"/>
        <v>Obese</v>
      </c>
      <c r="E646">
        <v>2</v>
      </c>
      <c r="F646" t="s">
        <v>11</v>
      </c>
      <c r="G646" t="s">
        <v>12</v>
      </c>
      <c r="H646">
        <v>18806.145469999999</v>
      </c>
    </row>
    <row r="647" spans="1:8" x14ac:dyDescent="0.3">
      <c r="A647">
        <v>48</v>
      </c>
      <c r="B647" t="s">
        <v>10</v>
      </c>
      <c r="C647">
        <v>30.78</v>
      </c>
      <c r="D647" t="str">
        <f t="shared" si="10"/>
        <v>Obese</v>
      </c>
      <c r="E647">
        <v>3</v>
      </c>
      <c r="F647" t="s">
        <v>11</v>
      </c>
      <c r="G647" t="s">
        <v>14</v>
      </c>
      <c r="H647">
        <v>10141.136200000001</v>
      </c>
    </row>
    <row r="648" spans="1:8" x14ac:dyDescent="0.3">
      <c r="A648">
        <v>39</v>
      </c>
      <c r="B648" t="s">
        <v>10</v>
      </c>
      <c r="C648">
        <v>26.22</v>
      </c>
      <c r="D648" t="str">
        <f t="shared" si="10"/>
        <v>Overweight</v>
      </c>
      <c r="E648">
        <v>1</v>
      </c>
      <c r="F648" t="s">
        <v>11</v>
      </c>
      <c r="G648" t="s">
        <v>13</v>
      </c>
      <c r="H648">
        <v>6123.5688</v>
      </c>
    </row>
    <row r="649" spans="1:8" x14ac:dyDescent="0.3">
      <c r="A649">
        <v>40</v>
      </c>
      <c r="B649" t="s">
        <v>7</v>
      </c>
      <c r="C649">
        <v>23.37</v>
      </c>
      <c r="D649" t="str">
        <f t="shared" si="10"/>
        <v>Normal</v>
      </c>
      <c r="E649">
        <v>3</v>
      </c>
      <c r="F649" t="s">
        <v>11</v>
      </c>
      <c r="G649" t="s">
        <v>14</v>
      </c>
      <c r="H649">
        <v>8252.2842999999993</v>
      </c>
    </row>
    <row r="650" spans="1:8" x14ac:dyDescent="0.3">
      <c r="A650">
        <v>18</v>
      </c>
      <c r="B650" t="s">
        <v>10</v>
      </c>
      <c r="C650">
        <v>28.5</v>
      </c>
      <c r="D650" t="str">
        <f t="shared" si="10"/>
        <v>Overweight</v>
      </c>
      <c r="E650">
        <v>0</v>
      </c>
      <c r="F650" t="s">
        <v>11</v>
      </c>
      <c r="G650" t="s">
        <v>14</v>
      </c>
      <c r="H650">
        <v>1712.2270000000001</v>
      </c>
    </row>
    <row r="651" spans="1:8" x14ac:dyDescent="0.3">
      <c r="A651">
        <v>58</v>
      </c>
      <c r="B651" t="s">
        <v>7</v>
      </c>
      <c r="C651">
        <v>32.965000000000003</v>
      </c>
      <c r="D651" t="str">
        <f t="shared" si="10"/>
        <v>Obese</v>
      </c>
      <c r="E651">
        <v>0</v>
      </c>
      <c r="F651" t="s">
        <v>11</v>
      </c>
      <c r="G651" t="s">
        <v>14</v>
      </c>
      <c r="H651">
        <v>12430.95335</v>
      </c>
    </row>
    <row r="652" spans="1:8" x14ac:dyDescent="0.3">
      <c r="A652">
        <v>49</v>
      </c>
      <c r="B652" t="s">
        <v>7</v>
      </c>
      <c r="C652">
        <v>42.68</v>
      </c>
      <c r="D652" t="str">
        <f t="shared" si="10"/>
        <v>Obese</v>
      </c>
      <c r="E652">
        <v>2</v>
      </c>
      <c r="F652" t="s">
        <v>11</v>
      </c>
      <c r="G652" t="s">
        <v>12</v>
      </c>
      <c r="H652">
        <v>9800.8881999999994</v>
      </c>
    </row>
    <row r="653" spans="1:8" x14ac:dyDescent="0.3">
      <c r="A653">
        <v>53</v>
      </c>
      <c r="B653" t="s">
        <v>7</v>
      </c>
      <c r="C653">
        <v>39.6</v>
      </c>
      <c r="D653" t="str">
        <f t="shared" si="10"/>
        <v>Obese</v>
      </c>
      <c r="E653">
        <v>1</v>
      </c>
      <c r="F653" t="s">
        <v>11</v>
      </c>
      <c r="G653" t="s">
        <v>12</v>
      </c>
      <c r="H653">
        <v>10579.710999999999</v>
      </c>
    </row>
    <row r="654" spans="1:8" x14ac:dyDescent="0.3">
      <c r="A654">
        <v>48</v>
      </c>
      <c r="B654" t="s">
        <v>7</v>
      </c>
      <c r="C654">
        <v>31.13</v>
      </c>
      <c r="D654" t="str">
        <f t="shared" si="10"/>
        <v>Obese</v>
      </c>
      <c r="E654">
        <v>0</v>
      </c>
      <c r="F654" t="s">
        <v>11</v>
      </c>
      <c r="G654" t="s">
        <v>12</v>
      </c>
      <c r="H654">
        <v>8280.6226999999999</v>
      </c>
    </row>
    <row r="655" spans="1:8" x14ac:dyDescent="0.3">
      <c r="A655">
        <v>45</v>
      </c>
      <c r="B655" t="s">
        <v>7</v>
      </c>
      <c r="C655">
        <v>36.299999999999997</v>
      </c>
      <c r="D655" t="str">
        <f t="shared" si="10"/>
        <v>Obese</v>
      </c>
      <c r="E655">
        <v>2</v>
      </c>
      <c r="F655" t="s">
        <v>11</v>
      </c>
      <c r="G655" t="s">
        <v>12</v>
      </c>
      <c r="H655">
        <v>8527.5319999999992</v>
      </c>
    </row>
    <row r="656" spans="1:8" x14ac:dyDescent="0.3">
      <c r="A656">
        <v>59</v>
      </c>
      <c r="B656" t="s">
        <v>7</v>
      </c>
      <c r="C656">
        <v>35.200000000000003</v>
      </c>
      <c r="D656" t="str">
        <f t="shared" si="10"/>
        <v>Obese</v>
      </c>
      <c r="E656">
        <v>0</v>
      </c>
      <c r="F656" t="s">
        <v>11</v>
      </c>
      <c r="G656" t="s">
        <v>12</v>
      </c>
      <c r="H656">
        <v>12244.531000000001</v>
      </c>
    </row>
    <row r="657" spans="1:8" x14ac:dyDescent="0.3">
      <c r="A657">
        <v>52</v>
      </c>
      <c r="B657" t="s">
        <v>7</v>
      </c>
      <c r="C657">
        <v>25.3</v>
      </c>
      <c r="D657" t="str">
        <f t="shared" si="10"/>
        <v>Overweight</v>
      </c>
      <c r="E657">
        <v>2</v>
      </c>
      <c r="F657" t="s">
        <v>8</v>
      </c>
      <c r="G657" t="s">
        <v>12</v>
      </c>
      <c r="H657">
        <v>24667.419000000002</v>
      </c>
    </row>
    <row r="658" spans="1:8" x14ac:dyDescent="0.3">
      <c r="A658">
        <v>26</v>
      </c>
      <c r="B658" t="s">
        <v>7</v>
      </c>
      <c r="C658">
        <v>42.4</v>
      </c>
      <c r="D658" t="str">
        <f t="shared" si="10"/>
        <v>Obese</v>
      </c>
      <c r="E658">
        <v>1</v>
      </c>
      <c r="F658" t="s">
        <v>11</v>
      </c>
      <c r="G658" t="s">
        <v>9</v>
      </c>
      <c r="H658">
        <v>3410.3240000000001</v>
      </c>
    </row>
    <row r="659" spans="1:8" x14ac:dyDescent="0.3">
      <c r="A659">
        <v>27</v>
      </c>
      <c r="B659" t="s">
        <v>10</v>
      </c>
      <c r="C659">
        <v>33.155000000000001</v>
      </c>
      <c r="D659" t="str">
        <f t="shared" si="10"/>
        <v>Obese</v>
      </c>
      <c r="E659">
        <v>2</v>
      </c>
      <c r="F659" t="s">
        <v>11</v>
      </c>
      <c r="G659" t="s">
        <v>13</v>
      </c>
      <c r="H659">
        <v>4058.71245</v>
      </c>
    </row>
    <row r="660" spans="1:8" x14ac:dyDescent="0.3">
      <c r="A660">
        <v>48</v>
      </c>
      <c r="B660" t="s">
        <v>7</v>
      </c>
      <c r="C660">
        <v>35.909999999999997</v>
      </c>
      <c r="D660" t="str">
        <f t="shared" si="10"/>
        <v>Obese</v>
      </c>
      <c r="E660">
        <v>1</v>
      </c>
      <c r="F660" t="s">
        <v>11</v>
      </c>
      <c r="G660" t="s">
        <v>14</v>
      </c>
      <c r="H660">
        <v>26392.260289999998</v>
      </c>
    </row>
    <row r="661" spans="1:8" x14ac:dyDescent="0.3">
      <c r="A661">
        <v>57</v>
      </c>
      <c r="B661" t="s">
        <v>7</v>
      </c>
      <c r="C661">
        <v>28.785</v>
      </c>
      <c r="D661" t="str">
        <f t="shared" ref="D661:D724" si="11">IF(C661&lt;18.5,"Underweight",IF(C661&lt;24.9,"Normal",IF(C661&lt;30,"Overweight","Obese")))</f>
        <v>Overweight</v>
      </c>
      <c r="E661">
        <v>4</v>
      </c>
      <c r="F661" t="s">
        <v>11</v>
      </c>
      <c r="G661" t="s">
        <v>14</v>
      </c>
      <c r="H661">
        <v>14394.398150000001</v>
      </c>
    </row>
    <row r="662" spans="1:8" x14ac:dyDescent="0.3">
      <c r="A662">
        <v>37</v>
      </c>
      <c r="B662" t="s">
        <v>10</v>
      </c>
      <c r="C662">
        <v>46.53</v>
      </c>
      <c r="D662" t="str">
        <f t="shared" si="11"/>
        <v>Obese</v>
      </c>
      <c r="E662">
        <v>3</v>
      </c>
      <c r="F662" t="s">
        <v>11</v>
      </c>
      <c r="G662" t="s">
        <v>12</v>
      </c>
      <c r="H662">
        <v>6435.6237000000001</v>
      </c>
    </row>
    <row r="663" spans="1:8" x14ac:dyDescent="0.3">
      <c r="A663">
        <v>57</v>
      </c>
      <c r="B663" t="s">
        <v>7</v>
      </c>
      <c r="C663">
        <v>23.98</v>
      </c>
      <c r="D663" t="str">
        <f t="shared" si="11"/>
        <v>Normal</v>
      </c>
      <c r="E663">
        <v>1</v>
      </c>
      <c r="F663" t="s">
        <v>11</v>
      </c>
      <c r="G663" t="s">
        <v>12</v>
      </c>
      <c r="H663">
        <v>22192.437109999999</v>
      </c>
    </row>
    <row r="664" spans="1:8" x14ac:dyDescent="0.3">
      <c r="A664">
        <v>32</v>
      </c>
      <c r="B664" t="s">
        <v>7</v>
      </c>
      <c r="C664">
        <v>31.54</v>
      </c>
      <c r="D664" t="str">
        <f t="shared" si="11"/>
        <v>Obese</v>
      </c>
      <c r="E664">
        <v>1</v>
      </c>
      <c r="F664" t="s">
        <v>11</v>
      </c>
      <c r="G664" t="s">
        <v>14</v>
      </c>
      <c r="H664">
        <v>5148.5526</v>
      </c>
    </row>
    <row r="665" spans="1:8" x14ac:dyDescent="0.3">
      <c r="A665">
        <v>18</v>
      </c>
      <c r="B665" t="s">
        <v>10</v>
      </c>
      <c r="C665">
        <v>33.659999999999997</v>
      </c>
      <c r="D665" t="str">
        <f t="shared" si="11"/>
        <v>Obese</v>
      </c>
      <c r="E665">
        <v>0</v>
      </c>
      <c r="F665" t="s">
        <v>11</v>
      </c>
      <c r="G665" t="s">
        <v>12</v>
      </c>
      <c r="H665">
        <v>1136.3994</v>
      </c>
    </row>
    <row r="666" spans="1:8" x14ac:dyDescent="0.3">
      <c r="A666">
        <v>64</v>
      </c>
      <c r="B666" t="s">
        <v>7</v>
      </c>
      <c r="C666">
        <v>22.99</v>
      </c>
      <c r="D666" t="str">
        <f t="shared" si="11"/>
        <v>Normal</v>
      </c>
      <c r="E666">
        <v>0</v>
      </c>
      <c r="F666" t="s">
        <v>8</v>
      </c>
      <c r="G666" t="s">
        <v>12</v>
      </c>
      <c r="H666">
        <v>27037.914100000002</v>
      </c>
    </row>
    <row r="667" spans="1:8" x14ac:dyDescent="0.3">
      <c r="A667">
        <v>43</v>
      </c>
      <c r="B667" t="s">
        <v>10</v>
      </c>
      <c r="C667">
        <v>38.06</v>
      </c>
      <c r="D667" t="str">
        <f t="shared" si="11"/>
        <v>Obese</v>
      </c>
      <c r="E667">
        <v>2</v>
      </c>
      <c r="F667" t="s">
        <v>8</v>
      </c>
      <c r="G667" t="s">
        <v>12</v>
      </c>
      <c r="H667">
        <v>42560.430399999997</v>
      </c>
    </row>
    <row r="668" spans="1:8" x14ac:dyDescent="0.3">
      <c r="A668">
        <v>49</v>
      </c>
      <c r="B668" t="s">
        <v>10</v>
      </c>
      <c r="C668">
        <v>28.7</v>
      </c>
      <c r="D668" t="str">
        <f t="shared" si="11"/>
        <v>Overweight</v>
      </c>
      <c r="E668">
        <v>1</v>
      </c>
      <c r="F668" t="s">
        <v>11</v>
      </c>
      <c r="G668" t="s">
        <v>9</v>
      </c>
      <c r="H668">
        <v>8703.4560000000001</v>
      </c>
    </row>
    <row r="669" spans="1:8" x14ac:dyDescent="0.3">
      <c r="A669">
        <v>40</v>
      </c>
      <c r="B669" t="s">
        <v>7</v>
      </c>
      <c r="C669">
        <v>32.774999999999999</v>
      </c>
      <c r="D669" t="str">
        <f t="shared" si="11"/>
        <v>Obese</v>
      </c>
      <c r="E669">
        <v>2</v>
      </c>
      <c r="F669" t="s">
        <v>8</v>
      </c>
      <c r="G669" t="s">
        <v>13</v>
      </c>
      <c r="H669">
        <v>40003.332249999999</v>
      </c>
    </row>
    <row r="670" spans="1:8" x14ac:dyDescent="0.3">
      <c r="A670">
        <v>62</v>
      </c>
      <c r="B670" t="s">
        <v>10</v>
      </c>
      <c r="C670">
        <v>32.015000000000001</v>
      </c>
      <c r="D670" t="str">
        <f t="shared" si="11"/>
        <v>Obese</v>
      </c>
      <c r="E670">
        <v>0</v>
      </c>
      <c r="F670" t="s">
        <v>8</v>
      </c>
      <c r="G670" t="s">
        <v>14</v>
      </c>
      <c r="H670">
        <v>45710.207849999999</v>
      </c>
    </row>
    <row r="671" spans="1:8" x14ac:dyDescent="0.3">
      <c r="A671">
        <v>40</v>
      </c>
      <c r="B671" t="s">
        <v>7</v>
      </c>
      <c r="C671">
        <v>29.81</v>
      </c>
      <c r="D671" t="str">
        <f t="shared" si="11"/>
        <v>Overweight</v>
      </c>
      <c r="E671">
        <v>1</v>
      </c>
      <c r="F671" t="s">
        <v>11</v>
      </c>
      <c r="G671" t="s">
        <v>12</v>
      </c>
      <c r="H671">
        <v>6500.2358999999997</v>
      </c>
    </row>
    <row r="672" spans="1:8" x14ac:dyDescent="0.3">
      <c r="A672">
        <v>30</v>
      </c>
      <c r="B672" t="s">
        <v>10</v>
      </c>
      <c r="C672">
        <v>31.57</v>
      </c>
      <c r="D672" t="str">
        <f t="shared" si="11"/>
        <v>Obese</v>
      </c>
      <c r="E672">
        <v>3</v>
      </c>
      <c r="F672" t="s">
        <v>11</v>
      </c>
      <c r="G672" t="s">
        <v>12</v>
      </c>
      <c r="H672">
        <v>4837.5823</v>
      </c>
    </row>
    <row r="673" spans="1:8" x14ac:dyDescent="0.3">
      <c r="A673">
        <v>29</v>
      </c>
      <c r="B673" t="s">
        <v>7</v>
      </c>
      <c r="C673">
        <v>31.16</v>
      </c>
      <c r="D673" t="str">
        <f t="shared" si="11"/>
        <v>Obese</v>
      </c>
      <c r="E673">
        <v>0</v>
      </c>
      <c r="F673" t="s">
        <v>11</v>
      </c>
      <c r="G673" t="s">
        <v>14</v>
      </c>
      <c r="H673">
        <v>3943.5954000000002</v>
      </c>
    </row>
    <row r="674" spans="1:8" x14ac:dyDescent="0.3">
      <c r="A674">
        <v>36</v>
      </c>
      <c r="B674" t="s">
        <v>10</v>
      </c>
      <c r="C674">
        <v>29.7</v>
      </c>
      <c r="D674" t="str">
        <f t="shared" si="11"/>
        <v>Overweight</v>
      </c>
      <c r="E674">
        <v>0</v>
      </c>
      <c r="F674" t="s">
        <v>11</v>
      </c>
      <c r="G674" t="s">
        <v>12</v>
      </c>
      <c r="H674">
        <v>4399.7309999999998</v>
      </c>
    </row>
    <row r="675" spans="1:8" x14ac:dyDescent="0.3">
      <c r="A675">
        <v>41</v>
      </c>
      <c r="B675" t="s">
        <v>7</v>
      </c>
      <c r="C675">
        <v>31.02</v>
      </c>
      <c r="D675" t="str">
        <f t="shared" si="11"/>
        <v>Obese</v>
      </c>
      <c r="E675">
        <v>0</v>
      </c>
      <c r="F675" t="s">
        <v>11</v>
      </c>
      <c r="G675" t="s">
        <v>12</v>
      </c>
      <c r="H675">
        <v>6185.3208000000004</v>
      </c>
    </row>
    <row r="676" spans="1:8" x14ac:dyDescent="0.3">
      <c r="A676">
        <v>44</v>
      </c>
      <c r="B676" t="s">
        <v>7</v>
      </c>
      <c r="C676">
        <v>43.89</v>
      </c>
      <c r="D676" t="str">
        <f t="shared" si="11"/>
        <v>Obese</v>
      </c>
      <c r="E676">
        <v>2</v>
      </c>
      <c r="F676" t="s">
        <v>8</v>
      </c>
      <c r="G676" t="s">
        <v>12</v>
      </c>
      <c r="H676">
        <v>46200.985099999998</v>
      </c>
    </row>
    <row r="677" spans="1:8" x14ac:dyDescent="0.3">
      <c r="A677">
        <v>45</v>
      </c>
      <c r="B677" t="s">
        <v>10</v>
      </c>
      <c r="C677">
        <v>21.375</v>
      </c>
      <c r="D677" t="str">
        <f t="shared" si="11"/>
        <v>Normal</v>
      </c>
      <c r="E677">
        <v>0</v>
      </c>
      <c r="F677" t="s">
        <v>11</v>
      </c>
      <c r="G677" t="s">
        <v>13</v>
      </c>
      <c r="H677">
        <v>7222.7862500000001</v>
      </c>
    </row>
    <row r="678" spans="1:8" x14ac:dyDescent="0.3">
      <c r="A678">
        <v>55</v>
      </c>
      <c r="B678" t="s">
        <v>7</v>
      </c>
      <c r="C678">
        <v>40.81</v>
      </c>
      <c r="D678" t="str">
        <f t="shared" si="11"/>
        <v>Obese</v>
      </c>
      <c r="E678">
        <v>3</v>
      </c>
      <c r="F678" t="s">
        <v>11</v>
      </c>
      <c r="G678" t="s">
        <v>12</v>
      </c>
      <c r="H678">
        <v>12485.8009</v>
      </c>
    </row>
    <row r="679" spans="1:8" x14ac:dyDescent="0.3">
      <c r="A679">
        <v>60</v>
      </c>
      <c r="B679" t="s">
        <v>10</v>
      </c>
      <c r="C679">
        <v>31.35</v>
      </c>
      <c r="D679" t="str">
        <f t="shared" si="11"/>
        <v>Obese</v>
      </c>
      <c r="E679">
        <v>3</v>
      </c>
      <c r="F679" t="s">
        <v>8</v>
      </c>
      <c r="G679" t="s">
        <v>13</v>
      </c>
      <c r="H679">
        <v>46130.5265</v>
      </c>
    </row>
    <row r="680" spans="1:8" x14ac:dyDescent="0.3">
      <c r="A680">
        <v>56</v>
      </c>
      <c r="B680" t="s">
        <v>10</v>
      </c>
      <c r="C680">
        <v>36.1</v>
      </c>
      <c r="D680" t="str">
        <f t="shared" si="11"/>
        <v>Obese</v>
      </c>
      <c r="E680">
        <v>3</v>
      </c>
      <c r="F680" t="s">
        <v>11</v>
      </c>
      <c r="G680" t="s">
        <v>9</v>
      </c>
      <c r="H680">
        <v>12363.547</v>
      </c>
    </row>
    <row r="681" spans="1:8" x14ac:dyDescent="0.3">
      <c r="A681">
        <v>49</v>
      </c>
      <c r="B681" t="s">
        <v>7</v>
      </c>
      <c r="C681">
        <v>23.18</v>
      </c>
      <c r="D681" t="str">
        <f t="shared" si="11"/>
        <v>Normal</v>
      </c>
      <c r="E681">
        <v>2</v>
      </c>
      <c r="F681" t="s">
        <v>11</v>
      </c>
      <c r="G681" t="s">
        <v>13</v>
      </c>
      <c r="H681">
        <v>10156.7832</v>
      </c>
    </row>
    <row r="682" spans="1:8" x14ac:dyDescent="0.3">
      <c r="A682">
        <v>21</v>
      </c>
      <c r="B682" t="s">
        <v>7</v>
      </c>
      <c r="C682">
        <v>17.399999999999999</v>
      </c>
      <c r="D682" t="str">
        <f t="shared" si="11"/>
        <v>Underweight</v>
      </c>
      <c r="E682">
        <v>1</v>
      </c>
      <c r="F682" t="s">
        <v>11</v>
      </c>
      <c r="G682" t="s">
        <v>9</v>
      </c>
      <c r="H682">
        <v>2585.2689999999998</v>
      </c>
    </row>
    <row r="683" spans="1:8" x14ac:dyDescent="0.3">
      <c r="A683">
        <v>19</v>
      </c>
      <c r="B683" t="s">
        <v>10</v>
      </c>
      <c r="C683">
        <v>20.3</v>
      </c>
      <c r="D683" t="str">
        <f t="shared" si="11"/>
        <v>Normal</v>
      </c>
      <c r="E683">
        <v>0</v>
      </c>
      <c r="F683" t="s">
        <v>11</v>
      </c>
      <c r="G683" t="s">
        <v>9</v>
      </c>
      <c r="H683">
        <v>1242.26</v>
      </c>
    </row>
    <row r="684" spans="1:8" x14ac:dyDescent="0.3">
      <c r="A684">
        <v>39</v>
      </c>
      <c r="B684" t="s">
        <v>10</v>
      </c>
      <c r="C684">
        <v>35.299999999999997</v>
      </c>
      <c r="D684" t="str">
        <f t="shared" si="11"/>
        <v>Obese</v>
      </c>
      <c r="E684">
        <v>2</v>
      </c>
      <c r="F684" t="s">
        <v>8</v>
      </c>
      <c r="G684" t="s">
        <v>9</v>
      </c>
      <c r="H684">
        <v>40103.89</v>
      </c>
    </row>
    <row r="685" spans="1:8" x14ac:dyDescent="0.3">
      <c r="A685">
        <v>53</v>
      </c>
      <c r="B685" t="s">
        <v>10</v>
      </c>
      <c r="C685">
        <v>24.32</v>
      </c>
      <c r="D685" t="str">
        <f t="shared" si="11"/>
        <v>Normal</v>
      </c>
      <c r="E685">
        <v>0</v>
      </c>
      <c r="F685" t="s">
        <v>11</v>
      </c>
      <c r="G685" t="s">
        <v>13</v>
      </c>
      <c r="H685">
        <v>9863.4717999999993</v>
      </c>
    </row>
    <row r="686" spans="1:8" x14ac:dyDescent="0.3">
      <c r="A686">
        <v>33</v>
      </c>
      <c r="B686" t="s">
        <v>7</v>
      </c>
      <c r="C686">
        <v>18.5</v>
      </c>
      <c r="D686" t="str">
        <f t="shared" si="11"/>
        <v>Normal</v>
      </c>
      <c r="E686">
        <v>1</v>
      </c>
      <c r="F686" t="s">
        <v>11</v>
      </c>
      <c r="G686" t="s">
        <v>9</v>
      </c>
      <c r="H686">
        <v>4766.0219999999999</v>
      </c>
    </row>
    <row r="687" spans="1:8" x14ac:dyDescent="0.3">
      <c r="A687">
        <v>53</v>
      </c>
      <c r="B687" t="s">
        <v>10</v>
      </c>
      <c r="C687">
        <v>26.41</v>
      </c>
      <c r="D687" t="str">
        <f t="shared" si="11"/>
        <v>Overweight</v>
      </c>
      <c r="E687">
        <v>2</v>
      </c>
      <c r="F687" t="s">
        <v>11</v>
      </c>
      <c r="G687" t="s">
        <v>14</v>
      </c>
      <c r="H687">
        <v>11244.376899999999</v>
      </c>
    </row>
    <row r="688" spans="1:8" x14ac:dyDescent="0.3">
      <c r="A688">
        <v>42</v>
      </c>
      <c r="B688" t="s">
        <v>10</v>
      </c>
      <c r="C688">
        <v>26.125</v>
      </c>
      <c r="D688" t="str">
        <f t="shared" si="11"/>
        <v>Overweight</v>
      </c>
      <c r="E688">
        <v>2</v>
      </c>
      <c r="F688" t="s">
        <v>11</v>
      </c>
      <c r="G688" t="s">
        <v>14</v>
      </c>
      <c r="H688">
        <v>7729.6457499999997</v>
      </c>
    </row>
    <row r="689" spans="1:8" x14ac:dyDescent="0.3">
      <c r="A689">
        <v>40</v>
      </c>
      <c r="B689" t="s">
        <v>10</v>
      </c>
      <c r="C689">
        <v>41.69</v>
      </c>
      <c r="D689" t="str">
        <f t="shared" si="11"/>
        <v>Obese</v>
      </c>
      <c r="E689">
        <v>0</v>
      </c>
      <c r="F689" t="s">
        <v>11</v>
      </c>
      <c r="G689" t="s">
        <v>12</v>
      </c>
      <c r="H689">
        <v>5438.7491</v>
      </c>
    </row>
    <row r="690" spans="1:8" x14ac:dyDescent="0.3">
      <c r="A690">
        <v>47</v>
      </c>
      <c r="B690" t="s">
        <v>7</v>
      </c>
      <c r="C690">
        <v>24.1</v>
      </c>
      <c r="D690" t="str">
        <f t="shared" si="11"/>
        <v>Normal</v>
      </c>
      <c r="E690">
        <v>1</v>
      </c>
      <c r="F690" t="s">
        <v>11</v>
      </c>
      <c r="G690" t="s">
        <v>9</v>
      </c>
      <c r="H690">
        <v>26236.579969999999</v>
      </c>
    </row>
    <row r="691" spans="1:8" x14ac:dyDescent="0.3">
      <c r="A691">
        <v>27</v>
      </c>
      <c r="B691" t="s">
        <v>10</v>
      </c>
      <c r="C691">
        <v>31.13</v>
      </c>
      <c r="D691" t="str">
        <f t="shared" si="11"/>
        <v>Obese</v>
      </c>
      <c r="E691">
        <v>1</v>
      </c>
      <c r="F691" t="s">
        <v>8</v>
      </c>
      <c r="G691" t="s">
        <v>12</v>
      </c>
      <c r="H691">
        <v>34806.467700000001</v>
      </c>
    </row>
    <row r="692" spans="1:8" x14ac:dyDescent="0.3">
      <c r="A692">
        <v>21</v>
      </c>
      <c r="B692" t="s">
        <v>10</v>
      </c>
      <c r="C692">
        <v>27.36</v>
      </c>
      <c r="D692" t="str">
        <f t="shared" si="11"/>
        <v>Overweight</v>
      </c>
      <c r="E692">
        <v>0</v>
      </c>
      <c r="F692" t="s">
        <v>11</v>
      </c>
      <c r="G692" t="s">
        <v>14</v>
      </c>
      <c r="H692">
        <v>2104.1134000000002</v>
      </c>
    </row>
    <row r="693" spans="1:8" x14ac:dyDescent="0.3">
      <c r="A693">
        <v>47</v>
      </c>
      <c r="B693" t="s">
        <v>10</v>
      </c>
      <c r="C693">
        <v>36.200000000000003</v>
      </c>
      <c r="D693" t="str">
        <f t="shared" si="11"/>
        <v>Obese</v>
      </c>
      <c r="E693">
        <v>1</v>
      </c>
      <c r="F693" t="s">
        <v>11</v>
      </c>
      <c r="G693" t="s">
        <v>9</v>
      </c>
      <c r="H693">
        <v>8068.1850000000004</v>
      </c>
    </row>
    <row r="694" spans="1:8" x14ac:dyDescent="0.3">
      <c r="A694">
        <v>20</v>
      </c>
      <c r="B694" t="s">
        <v>10</v>
      </c>
      <c r="C694">
        <v>32.395000000000003</v>
      </c>
      <c r="D694" t="str">
        <f t="shared" si="11"/>
        <v>Obese</v>
      </c>
      <c r="E694">
        <v>1</v>
      </c>
      <c r="F694" t="s">
        <v>11</v>
      </c>
      <c r="G694" t="s">
        <v>13</v>
      </c>
      <c r="H694">
        <v>2362.2290499999999</v>
      </c>
    </row>
    <row r="695" spans="1:8" x14ac:dyDescent="0.3">
      <c r="A695">
        <v>24</v>
      </c>
      <c r="B695" t="s">
        <v>10</v>
      </c>
      <c r="C695">
        <v>23.655000000000001</v>
      </c>
      <c r="D695" t="str">
        <f t="shared" si="11"/>
        <v>Normal</v>
      </c>
      <c r="E695">
        <v>0</v>
      </c>
      <c r="F695" t="s">
        <v>11</v>
      </c>
      <c r="G695" t="s">
        <v>13</v>
      </c>
      <c r="H695">
        <v>2352.9684499999998</v>
      </c>
    </row>
    <row r="696" spans="1:8" x14ac:dyDescent="0.3">
      <c r="A696">
        <v>27</v>
      </c>
      <c r="B696" t="s">
        <v>7</v>
      </c>
      <c r="C696">
        <v>34.799999999999997</v>
      </c>
      <c r="D696" t="str">
        <f t="shared" si="11"/>
        <v>Obese</v>
      </c>
      <c r="E696">
        <v>1</v>
      </c>
      <c r="F696" t="s">
        <v>11</v>
      </c>
      <c r="G696" t="s">
        <v>9</v>
      </c>
      <c r="H696">
        <v>3577.9989999999998</v>
      </c>
    </row>
    <row r="697" spans="1:8" x14ac:dyDescent="0.3">
      <c r="A697">
        <v>26</v>
      </c>
      <c r="B697" t="s">
        <v>7</v>
      </c>
      <c r="C697">
        <v>40.185000000000002</v>
      </c>
      <c r="D697" t="str">
        <f t="shared" si="11"/>
        <v>Obese</v>
      </c>
      <c r="E697">
        <v>0</v>
      </c>
      <c r="F697" t="s">
        <v>11</v>
      </c>
      <c r="G697" t="s">
        <v>13</v>
      </c>
      <c r="H697">
        <v>3201.2451500000002</v>
      </c>
    </row>
    <row r="698" spans="1:8" x14ac:dyDescent="0.3">
      <c r="A698">
        <v>53</v>
      </c>
      <c r="B698" t="s">
        <v>7</v>
      </c>
      <c r="C698">
        <v>32.299999999999997</v>
      </c>
      <c r="D698" t="str">
        <f t="shared" si="11"/>
        <v>Obese</v>
      </c>
      <c r="E698">
        <v>2</v>
      </c>
      <c r="F698" t="s">
        <v>11</v>
      </c>
      <c r="G698" t="s">
        <v>14</v>
      </c>
      <c r="H698">
        <v>29186.482360000002</v>
      </c>
    </row>
    <row r="699" spans="1:8" x14ac:dyDescent="0.3">
      <c r="A699">
        <v>41</v>
      </c>
      <c r="B699" t="s">
        <v>10</v>
      </c>
      <c r="C699">
        <v>35.75</v>
      </c>
      <c r="D699" t="str">
        <f t="shared" si="11"/>
        <v>Obese</v>
      </c>
      <c r="E699">
        <v>1</v>
      </c>
      <c r="F699" t="s">
        <v>8</v>
      </c>
      <c r="G699" t="s">
        <v>12</v>
      </c>
      <c r="H699">
        <v>40273.645499999999</v>
      </c>
    </row>
    <row r="700" spans="1:8" x14ac:dyDescent="0.3">
      <c r="A700">
        <v>56</v>
      </c>
      <c r="B700" t="s">
        <v>10</v>
      </c>
      <c r="C700">
        <v>33.725000000000001</v>
      </c>
      <c r="D700" t="str">
        <f t="shared" si="11"/>
        <v>Obese</v>
      </c>
      <c r="E700">
        <v>0</v>
      </c>
      <c r="F700" t="s">
        <v>11</v>
      </c>
      <c r="G700" t="s">
        <v>13</v>
      </c>
      <c r="H700">
        <v>10976.24575</v>
      </c>
    </row>
    <row r="701" spans="1:8" x14ac:dyDescent="0.3">
      <c r="A701">
        <v>23</v>
      </c>
      <c r="B701" t="s">
        <v>7</v>
      </c>
      <c r="C701">
        <v>39.270000000000003</v>
      </c>
      <c r="D701" t="str">
        <f t="shared" si="11"/>
        <v>Obese</v>
      </c>
      <c r="E701">
        <v>2</v>
      </c>
      <c r="F701" t="s">
        <v>11</v>
      </c>
      <c r="G701" t="s">
        <v>12</v>
      </c>
      <c r="H701">
        <v>3500.6122999999998</v>
      </c>
    </row>
    <row r="702" spans="1:8" x14ac:dyDescent="0.3">
      <c r="A702">
        <v>21</v>
      </c>
      <c r="B702" t="s">
        <v>7</v>
      </c>
      <c r="C702">
        <v>34.869999999999997</v>
      </c>
      <c r="D702" t="str">
        <f t="shared" si="11"/>
        <v>Obese</v>
      </c>
      <c r="E702">
        <v>0</v>
      </c>
      <c r="F702" t="s">
        <v>11</v>
      </c>
      <c r="G702" t="s">
        <v>12</v>
      </c>
      <c r="H702">
        <v>2020.5523000000001</v>
      </c>
    </row>
    <row r="703" spans="1:8" x14ac:dyDescent="0.3">
      <c r="A703">
        <v>50</v>
      </c>
      <c r="B703" t="s">
        <v>7</v>
      </c>
      <c r="C703">
        <v>44.744999999999997</v>
      </c>
      <c r="D703" t="str">
        <f t="shared" si="11"/>
        <v>Obese</v>
      </c>
      <c r="E703">
        <v>0</v>
      </c>
      <c r="F703" t="s">
        <v>11</v>
      </c>
      <c r="G703" t="s">
        <v>14</v>
      </c>
      <c r="H703">
        <v>9541.6955500000004</v>
      </c>
    </row>
    <row r="704" spans="1:8" x14ac:dyDescent="0.3">
      <c r="A704">
        <v>53</v>
      </c>
      <c r="B704" t="s">
        <v>10</v>
      </c>
      <c r="C704">
        <v>41.47</v>
      </c>
      <c r="D704" t="str">
        <f t="shared" si="11"/>
        <v>Obese</v>
      </c>
      <c r="E704">
        <v>0</v>
      </c>
      <c r="F704" t="s">
        <v>11</v>
      </c>
      <c r="G704" t="s">
        <v>12</v>
      </c>
      <c r="H704">
        <v>9504.3102999999992</v>
      </c>
    </row>
    <row r="705" spans="1:8" x14ac:dyDescent="0.3">
      <c r="A705">
        <v>34</v>
      </c>
      <c r="B705" t="s">
        <v>7</v>
      </c>
      <c r="C705">
        <v>26.41</v>
      </c>
      <c r="D705" t="str">
        <f t="shared" si="11"/>
        <v>Overweight</v>
      </c>
      <c r="E705">
        <v>1</v>
      </c>
      <c r="F705" t="s">
        <v>11</v>
      </c>
      <c r="G705" t="s">
        <v>13</v>
      </c>
      <c r="H705">
        <v>5385.3379000000004</v>
      </c>
    </row>
    <row r="706" spans="1:8" x14ac:dyDescent="0.3">
      <c r="A706">
        <v>47</v>
      </c>
      <c r="B706" t="s">
        <v>7</v>
      </c>
      <c r="C706">
        <v>29.545000000000002</v>
      </c>
      <c r="D706" t="str">
        <f t="shared" si="11"/>
        <v>Overweight</v>
      </c>
      <c r="E706">
        <v>1</v>
      </c>
      <c r="F706" t="s">
        <v>11</v>
      </c>
      <c r="G706" t="s">
        <v>13</v>
      </c>
      <c r="H706">
        <v>8930.9345499999999</v>
      </c>
    </row>
    <row r="707" spans="1:8" x14ac:dyDescent="0.3">
      <c r="A707">
        <v>33</v>
      </c>
      <c r="B707" t="s">
        <v>7</v>
      </c>
      <c r="C707">
        <v>32.9</v>
      </c>
      <c r="D707" t="str">
        <f t="shared" si="11"/>
        <v>Obese</v>
      </c>
      <c r="E707">
        <v>2</v>
      </c>
      <c r="F707" t="s">
        <v>11</v>
      </c>
      <c r="G707" t="s">
        <v>9</v>
      </c>
      <c r="H707">
        <v>5375.0379999999996</v>
      </c>
    </row>
    <row r="708" spans="1:8" x14ac:dyDescent="0.3">
      <c r="A708">
        <v>51</v>
      </c>
      <c r="B708" t="s">
        <v>7</v>
      </c>
      <c r="C708">
        <v>38.06</v>
      </c>
      <c r="D708" t="str">
        <f t="shared" si="11"/>
        <v>Obese</v>
      </c>
      <c r="E708">
        <v>0</v>
      </c>
      <c r="F708" t="s">
        <v>8</v>
      </c>
      <c r="G708" t="s">
        <v>12</v>
      </c>
      <c r="H708">
        <v>44400.4064</v>
      </c>
    </row>
    <row r="709" spans="1:8" x14ac:dyDescent="0.3">
      <c r="A709">
        <v>49</v>
      </c>
      <c r="B709" t="s">
        <v>10</v>
      </c>
      <c r="C709">
        <v>28.69</v>
      </c>
      <c r="D709" t="str">
        <f t="shared" si="11"/>
        <v>Overweight</v>
      </c>
      <c r="E709">
        <v>3</v>
      </c>
      <c r="F709" t="s">
        <v>11</v>
      </c>
      <c r="G709" t="s">
        <v>13</v>
      </c>
      <c r="H709">
        <v>10264.4421</v>
      </c>
    </row>
    <row r="710" spans="1:8" x14ac:dyDescent="0.3">
      <c r="A710">
        <v>31</v>
      </c>
      <c r="B710" t="s">
        <v>7</v>
      </c>
      <c r="C710">
        <v>30.495000000000001</v>
      </c>
      <c r="D710" t="str">
        <f t="shared" si="11"/>
        <v>Obese</v>
      </c>
      <c r="E710">
        <v>3</v>
      </c>
      <c r="F710" t="s">
        <v>11</v>
      </c>
      <c r="G710" t="s">
        <v>14</v>
      </c>
      <c r="H710">
        <v>6113.2310500000003</v>
      </c>
    </row>
    <row r="711" spans="1:8" x14ac:dyDescent="0.3">
      <c r="A711">
        <v>36</v>
      </c>
      <c r="B711" t="s">
        <v>7</v>
      </c>
      <c r="C711">
        <v>27.74</v>
      </c>
      <c r="D711" t="str">
        <f t="shared" si="11"/>
        <v>Overweight</v>
      </c>
      <c r="E711">
        <v>0</v>
      </c>
      <c r="F711" t="s">
        <v>11</v>
      </c>
      <c r="G711" t="s">
        <v>14</v>
      </c>
      <c r="H711">
        <v>5469.0065999999997</v>
      </c>
    </row>
    <row r="712" spans="1:8" x14ac:dyDescent="0.3">
      <c r="A712">
        <v>18</v>
      </c>
      <c r="B712" t="s">
        <v>10</v>
      </c>
      <c r="C712">
        <v>35.200000000000003</v>
      </c>
      <c r="D712" t="str">
        <f t="shared" si="11"/>
        <v>Obese</v>
      </c>
      <c r="E712">
        <v>1</v>
      </c>
      <c r="F712" t="s">
        <v>11</v>
      </c>
      <c r="G712" t="s">
        <v>12</v>
      </c>
      <c r="H712">
        <v>1727.54</v>
      </c>
    </row>
    <row r="713" spans="1:8" x14ac:dyDescent="0.3">
      <c r="A713">
        <v>50</v>
      </c>
      <c r="B713" t="s">
        <v>7</v>
      </c>
      <c r="C713">
        <v>23.54</v>
      </c>
      <c r="D713" t="str">
        <f t="shared" si="11"/>
        <v>Normal</v>
      </c>
      <c r="E713">
        <v>2</v>
      </c>
      <c r="F713" t="s">
        <v>11</v>
      </c>
      <c r="G713" t="s">
        <v>12</v>
      </c>
      <c r="H713">
        <v>10107.220600000001</v>
      </c>
    </row>
    <row r="714" spans="1:8" x14ac:dyDescent="0.3">
      <c r="A714">
        <v>43</v>
      </c>
      <c r="B714" t="s">
        <v>7</v>
      </c>
      <c r="C714">
        <v>30.684999999999999</v>
      </c>
      <c r="D714" t="str">
        <f t="shared" si="11"/>
        <v>Obese</v>
      </c>
      <c r="E714">
        <v>2</v>
      </c>
      <c r="F714" t="s">
        <v>11</v>
      </c>
      <c r="G714" t="s">
        <v>13</v>
      </c>
      <c r="H714">
        <v>8310.8391499999998</v>
      </c>
    </row>
    <row r="715" spans="1:8" x14ac:dyDescent="0.3">
      <c r="A715">
        <v>20</v>
      </c>
      <c r="B715" t="s">
        <v>10</v>
      </c>
      <c r="C715">
        <v>40.47</v>
      </c>
      <c r="D715" t="str">
        <f t="shared" si="11"/>
        <v>Obese</v>
      </c>
      <c r="E715">
        <v>0</v>
      </c>
      <c r="F715" t="s">
        <v>11</v>
      </c>
      <c r="G715" t="s">
        <v>14</v>
      </c>
      <c r="H715">
        <v>1984.4532999999999</v>
      </c>
    </row>
    <row r="716" spans="1:8" x14ac:dyDescent="0.3">
      <c r="A716">
        <v>24</v>
      </c>
      <c r="B716" t="s">
        <v>7</v>
      </c>
      <c r="C716">
        <v>22.6</v>
      </c>
      <c r="D716" t="str">
        <f t="shared" si="11"/>
        <v>Normal</v>
      </c>
      <c r="E716">
        <v>0</v>
      </c>
      <c r="F716" t="s">
        <v>11</v>
      </c>
      <c r="G716" t="s">
        <v>9</v>
      </c>
      <c r="H716">
        <v>2457.502</v>
      </c>
    </row>
    <row r="717" spans="1:8" x14ac:dyDescent="0.3">
      <c r="A717">
        <v>60</v>
      </c>
      <c r="B717" t="s">
        <v>10</v>
      </c>
      <c r="C717">
        <v>28.9</v>
      </c>
      <c r="D717" t="str">
        <f t="shared" si="11"/>
        <v>Overweight</v>
      </c>
      <c r="E717">
        <v>0</v>
      </c>
      <c r="F717" t="s">
        <v>11</v>
      </c>
      <c r="G717" t="s">
        <v>9</v>
      </c>
      <c r="H717">
        <v>12146.971</v>
      </c>
    </row>
    <row r="718" spans="1:8" x14ac:dyDescent="0.3">
      <c r="A718">
        <v>49</v>
      </c>
      <c r="B718" t="s">
        <v>7</v>
      </c>
      <c r="C718">
        <v>22.61</v>
      </c>
      <c r="D718" t="str">
        <f t="shared" si="11"/>
        <v>Normal</v>
      </c>
      <c r="E718">
        <v>1</v>
      </c>
      <c r="F718" t="s">
        <v>11</v>
      </c>
      <c r="G718" t="s">
        <v>13</v>
      </c>
      <c r="H718">
        <v>9566.9909000000007</v>
      </c>
    </row>
    <row r="719" spans="1:8" x14ac:dyDescent="0.3">
      <c r="A719">
        <v>60</v>
      </c>
      <c r="B719" t="s">
        <v>10</v>
      </c>
      <c r="C719">
        <v>24.32</v>
      </c>
      <c r="D719" t="str">
        <f t="shared" si="11"/>
        <v>Normal</v>
      </c>
      <c r="E719">
        <v>1</v>
      </c>
      <c r="F719" t="s">
        <v>11</v>
      </c>
      <c r="G719" t="s">
        <v>13</v>
      </c>
      <c r="H719">
        <v>13112.604799999999</v>
      </c>
    </row>
    <row r="720" spans="1:8" x14ac:dyDescent="0.3">
      <c r="A720">
        <v>51</v>
      </c>
      <c r="B720" t="s">
        <v>7</v>
      </c>
      <c r="C720">
        <v>36.67</v>
      </c>
      <c r="D720" t="str">
        <f t="shared" si="11"/>
        <v>Obese</v>
      </c>
      <c r="E720">
        <v>2</v>
      </c>
      <c r="F720" t="s">
        <v>11</v>
      </c>
      <c r="G720" t="s">
        <v>13</v>
      </c>
      <c r="H720">
        <v>10848.1343</v>
      </c>
    </row>
    <row r="721" spans="1:8" x14ac:dyDescent="0.3">
      <c r="A721">
        <v>58</v>
      </c>
      <c r="B721" t="s">
        <v>7</v>
      </c>
      <c r="C721">
        <v>33.44</v>
      </c>
      <c r="D721" t="str">
        <f t="shared" si="11"/>
        <v>Obese</v>
      </c>
      <c r="E721">
        <v>0</v>
      </c>
      <c r="F721" t="s">
        <v>11</v>
      </c>
      <c r="G721" t="s">
        <v>13</v>
      </c>
      <c r="H721">
        <v>12231.613600000001</v>
      </c>
    </row>
    <row r="722" spans="1:8" x14ac:dyDescent="0.3">
      <c r="A722">
        <v>51</v>
      </c>
      <c r="B722" t="s">
        <v>7</v>
      </c>
      <c r="C722">
        <v>40.659999999999997</v>
      </c>
      <c r="D722" t="str">
        <f t="shared" si="11"/>
        <v>Obese</v>
      </c>
      <c r="E722">
        <v>0</v>
      </c>
      <c r="F722" t="s">
        <v>11</v>
      </c>
      <c r="G722" t="s">
        <v>14</v>
      </c>
      <c r="H722">
        <v>9875.6803999999993</v>
      </c>
    </row>
    <row r="723" spans="1:8" x14ac:dyDescent="0.3">
      <c r="A723">
        <v>53</v>
      </c>
      <c r="B723" t="s">
        <v>10</v>
      </c>
      <c r="C723">
        <v>36.6</v>
      </c>
      <c r="D723" t="str">
        <f t="shared" si="11"/>
        <v>Obese</v>
      </c>
      <c r="E723">
        <v>3</v>
      </c>
      <c r="F723" t="s">
        <v>11</v>
      </c>
      <c r="G723" t="s">
        <v>9</v>
      </c>
      <c r="H723">
        <v>11264.540999999999</v>
      </c>
    </row>
    <row r="724" spans="1:8" x14ac:dyDescent="0.3">
      <c r="A724">
        <v>62</v>
      </c>
      <c r="B724" t="s">
        <v>10</v>
      </c>
      <c r="C724">
        <v>37.4</v>
      </c>
      <c r="D724" t="str">
        <f t="shared" si="11"/>
        <v>Obese</v>
      </c>
      <c r="E724">
        <v>0</v>
      </c>
      <c r="F724" t="s">
        <v>11</v>
      </c>
      <c r="G724" t="s">
        <v>9</v>
      </c>
      <c r="H724">
        <v>12979.358</v>
      </c>
    </row>
    <row r="725" spans="1:8" x14ac:dyDescent="0.3">
      <c r="A725">
        <v>19</v>
      </c>
      <c r="B725" t="s">
        <v>10</v>
      </c>
      <c r="C725">
        <v>35.4</v>
      </c>
      <c r="D725" t="str">
        <f t="shared" ref="D725:D788" si="12">IF(C725&lt;18.5,"Underweight",IF(C725&lt;24.9,"Normal",IF(C725&lt;30,"Overweight","Obese")))</f>
        <v>Obese</v>
      </c>
      <c r="E725">
        <v>0</v>
      </c>
      <c r="F725" t="s">
        <v>11</v>
      </c>
      <c r="G725" t="s">
        <v>9</v>
      </c>
      <c r="H725">
        <v>1263.249</v>
      </c>
    </row>
    <row r="726" spans="1:8" x14ac:dyDescent="0.3">
      <c r="A726">
        <v>50</v>
      </c>
      <c r="B726" t="s">
        <v>7</v>
      </c>
      <c r="C726">
        <v>27.074999999999999</v>
      </c>
      <c r="D726" t="str">
        <f t="shared" si="12"/>
        <v>Overweight</v>
      </c>
      <c r="E726">
        <v>1</v>
      </c>
      <c r="F726" t="s">
        <v>11</v>
      </c>
      <c r="G726" t="s">
        <v>14</v>
      </c>
      <c r="H726">
        <v>10106.134249999999</v>
      </c>
    </row>
    <row r="727" spans="1:8" x14ac:dyDescent="0.3">
      <c r="A727">
        <v>30</v>
      </c>
      <c r="B727" t="s">
        <v>7</v>
      </c>
      <c r="C727">
        <v>39.049999999999997</v>
      </c>
      <c r="D727" t="str">
        <f t="shared" si="12"/>
        <v>Obese</v>
      </c>
      <c r="E727">
        <v>3</v>
      </c>
      <c r="F727" t="s">
        <v>8</v>
      </c>
      <c r="G727" t="s">
        <v>12</v>
      </c>
      <c r="H727">
        <v>40932.429499999998</v>
      </c>
    </row>
    <row r="728" spans="1:8" x14ac:dyDescent="0.3">
      <c r="A728">
        <v>41</v>
      </c>
      <c r="B728" t="s">
        <v>10</v>
      </c>
      <c r="C728">
        <v>28.405000000000001</v>
      </c>
      <c r="D728" t="str">
        <f t="shared" si="12"/>
        <v>Overweight</v>
      </c>
      <c r="E728">
        <v>1</v>
      </c>
      <c r="F728" t="s">
        <v>11</v>
      </c>
      <c r="G728" t="s">
        <v>13</v>
      </c>
      <c r="H728">
        <v>6664.68595</v>
      </c>
    </row>
    <row r="729" spans="1:8" x14ac:dyDescent="0.3">
      <c r="A729">
        <v>29</v>
      </c>
      <c r="B729" t="s">
        <v>7</v>
      </c>
      <c r="C729">
        <v>21.754999999999999</v>
      </c>
      <c r="D729" t="str">
        <f t="shared" si="12"/>
        <v>Normal</v>
      </c>
      <c r="E729">
        <v>1</v>
      </c>
      <c r="F729" t="s">
        <v>8</v>
      </c>
      <c r="G729" t="s">
        <v>14</v>
      </c>
      <c r="H729">
        <v>16657.71745</v>
      </c>
    </row>
    <row r="730" spans="1:8" x14ac:dyDescent="0.3">
      <c r="A730">
        <v>18</v>
      </c>
      <c r="B730" t="s">
        <v>7</v>
      </c>
      <c r="C730">
        <v>40.28</v>
      </c>
      <c r="D730" t="str">
        <f t="shared" si="12"/>
        <v>Obese</v>
      </c>
      <c r="E730">
        <v>0</v>
      </c>
      <c r="F730" t="s">
        <v>11</v>
      </c>
      <c r="G730" t="s">
        <v>14</v>
      </c>
      <c r="H730">
        <v>2217.6012000000001</v>
      </c>
    </row>
    <row r="731" spans="1:8" x14ac:dyDescent="0.3">
      <c r="A731">
        <v>41</v>
      </c>
      <c r="B731" t="s">
        <v>7</v>
      </c>
      <c r="C731">
        <v>36.08</v>
      </c>
      <c r="D731" t="str">
        <f t="shared" si="12"/>
        <v>Obese</v>
      </c>
      <c r="E731">
        <v>1</v>
      </c>
      <c r="F731" t="s">
        <v>11</v>
      </c>
      <c r="G731" t="s">
        <v>12</v>
      </c>
      <c r="H731">
        <v>6781.3541999999998</v>
      </c>
    </row>
    <row r="732" spans="1:8" x14ac:dyDescent="0.3">
      <c r="A732">
        <v>35</v>
      </c>
      <c r="B732" t="s">
        <v>10</v>
      </c>
      <c r="C732">
        <v>24.42</v>
      </c>
      <c r="D732" t="str">
        <f t="shared" si="12"/>
        <v>Normal</v>
      </c>
      <c r="E732">
        <v>3</v>
      </c>
      <c r="F732" t="s">
        <v>8</v>
      </c>
      <c r="G732" t="s">
        <v>12</v>
      </c>
      <c r="H732">
        <v>19361.998800000001</v>
      </c>
    </row>
    <row r="733" spans="1:8" x14ac:dyDescent="0.3">
      <c r="A733">
        <v>53</v>
      </c>
      <c r="B733" t="s">
        <v>10</v>
      </c>
      <c r="C733">
        <v>21.4</v>
      </c>
      <c r="D733" t="str">
        <f t="shared" si="12"/>
        <v>Normal</v>
      </c>
      <c r="E733">
        <v>1</v>
      </c>
      <c r="F733" t="s">
        <v>11</v>
      </c>
      <c r="G733" t="s">
        <v>9</v>
      </c>
      <c r="H733">
        <v>10065.413</v>
      </c>
    </row>
    <row r="734" spans="1:8" x14ac:dyDescent="0.3">
      <c r="A734">
        <v>24</v>
      </c>
      <c r="B734" t="s">
        <v>7</v>
      </c>
      <c r="C734">
        <v>30.1</v>
      </c>
      <c r="D734" t="str">
        <f t="shared" si="12"/>
        <v>Obese</v>
      </c>
      <c r="E734">
        <v>3</v>
      </c>
      <c r="F734" t="s">
        <v>11</v>
      </c>
      <c r="G734" t="s">
        <v>9</v>
      </c>
      <c r="H734">
        <v>4234.9269999999997</v>
      </c>
    </row>
    <row r="735" spans="1:8" x14ac:dyDescent="0.3">
      <c r="A735">
        <v>48</v>
      </c>
      <c r="B735" t="s">
        <v>7</v>
      </c>
      <c r="C735">
        <v>27.265000000000001</v>
      </c>
      <c r="D735" t="str">
        <f t="shared" si="12"/>
        <v>Overweight</v>
      </c>
      <c r="E735">
        <v>1</v>
      </c>
      <c r="F735" t="s">
        <v>11</v>
      </c>
      <c r="G735" t="s">
        <v>14</v>
      </c>
      <c r="H735">
        <v>9447.2503500000003</v>
      </c>
    </row>
    <row r="736" spans="1:8" x14ac:dyDescent="0.3">
      <c r="A736">
        <v>59</v>
      </c>
      <c r="B736" t="s">
        <v>7</v>
      </c>
      <c r="C736">
        <v>32.1</v>
      </c>
      <c r="D736" t="str">
        <f t="shared" si="12"/>
        <v>Obese</v>
      </c>
      <c r="E736">
        <v>3</v>
      </c>
      <c r="F736" t="s">
        <v>11</v>
      </c>
      <c r="G736" t="s">
        <v>9</v>
      </c>
      <c r="H736">
        <v>14007.222</v>
      </c>
    </row>
    <row r="737" spans="1:8" x14ac:dyDescent="0.3">
      <c r="A737">
        <v>49</v>
      </c>
      <c r="B737" t="s">
        <v>7</v>
      </c>
      <c r="C737">
        <v>34.770000000000003</v>
      </c>
      <c r="D737" t="str">
        <f t="shared" si="12"/>
        <v>Obese</v>
      </c>
      <c r="E737">
        <v>1</v>
      </c>
      <c r="F737" t="s">
        <v>11</v>
      </c>
      <c r="G737" t="s">
        <v>13</v>
      </c>
      <c r="H737">
        <v>9583.8932999999997</v>
      </c>
    </row>
    <row r="738" spans="1:8" x14ac:dyDescent="0.3">
      <c r="A738">
        <v>37</v>
      </c>
      <c r="B738" t="s">
        <v>7</v>
      </c>
      <c r="C738">
        <v>38.39</v>
      </c>
      <c r="D738" t="str">
        <f t="shared" si="12"/>
        <v>Obese</v>
      </c>
      <c r="E738">
        <v>0</v>
      </c>
      <c r="F738" t="s">
        <v>8</v>
      </c>
      <c r="G738" t="s">
        <v>12</v>
      </c>
      <c r="H738">
        <v>40419.019099999998</v>
      </c>
    </row>
    <row r="739" spans="1:8" x14ac:dyDescent="0.3">
      <c r="A739">
        <v>26</v>
      </c>
      <c r="B739" t="s">
        <v>10</v>
      </c>
      <c r="C739">
        <v>23.7</v>
      </c>
      <c r="D739" t="str">
        <f t="shared" si="12"/>
        <v>Normal</v>
      </c>
      <c r="E739">
        <v>2</v>
      </c>
      <c r="F739" t="s">
        <v>11</v>
      </c>
      <c r="G739" t="s">
        <v>9</v>
      </c>
      <c r="H739">
        <v>3484.3310000000001</v>
      </c>
    </row>
    <row r="740" spans="1:8" x14ac:dyDescent="0.3">
      <c r="A740">
        <v>23</v>
      </c>
      <c r="B740" t="s">
        <v>10</v>
      </c>
      <c r="C740">
        <v>31.73</v>
      </c>
      <c r="D740" t="str">
        <f t="shared" si="12"/>
        <v>Obese</v>
      </c>
      <c r="E740">
        <v>3</v>
      </c>
      <c r="F740" t="s">
        <v>8</v>
      </c>
      <c r="G740" t="s">
        <v>14</v>
      </c>
      <c r="H740">
        <v>36189.101699999999</v>
      </c>
    </row>
    <row r="741" spans="1:8" x14ac:dyDescent="0.3">
      <c r="A741">
        <v>29</v>
      </c>
      <c r="B741" t="s">
        <v>10</v>
      </c>
      <c r="C741">
        <v>35.5</v>
      </c>
      <c r="D741" t="str">
        <f t="shared" si="12"/>
        <v>Obese</v>
      </c>
      <c r="E741">
        <v>2</v>
      </c>
      <c r="F741" t="s">
        <v>8</v>
      </c>
      <c r="G741" t="s">
        <v>9</v>
      </c>
      <c r="H741">
        <v>44585.455869999998</v>
      </c>
    </row>
    <row r="742" spans="1:8" x14ac:dyDescent="0.3">
      <c r="A742">
        <v>45</v>
      </c>
      <c r="B742" t="s">
        <v>10</v>
      </c>
      <c r="C742">
        <v>24.035</v>
      </c>
      <c r="D742" t="str">
        <f t="shared" si="12"/>
        <v>Normal</v>
      </c>
      <c r="E742">
        <v>2</v>
      </c>
      <c r="F742" t="s">
        <v>11</v>
      </c>
      <c r="G742" t="s">
        <v>14</v>
      </c>
      <c r="H742">
        <v>8604.4836500000001</v>
      </c>
    </row>
    <row r="743" spans="1:8" x14ac:dyDescent="0.3">
      <c r="A743">
        <v>27</v>
      </c>
      <c r="B743" t="s">
        <v>10</v>
      </c>
      <c r="C743">
        <v>29.15</v>
      </c>
      <c r="D743" t="str">
        <f t="shared" si="12"/>
        <v>Overweight</v>
      </c>
      <c r="E743">
        <v>0</v>
      </c>
      <c r="F743" t="s">
        <v>8</v>
      </c>
      <c r="G743" t="s">
        <v>12</v>
      </c>
      <c r="H743">
        <v>18246.495500000001</v>
      </c>
    </row>
    <row r="744" spans="1:8" x14ac:dyDescent="0.3">
      <c r="A744">
        <v>53</v>
      </c>
      <c r="B744" t="s">
        <v>10</v>
      </c>
      <c r="C744">
        <v>34.104999999999997</v>
      </c>
      <c r="D744" t="str">
        <f t="shared" si="12"/>
        <v>Obese</v>
      </c>
      <c r="E744">
        <v>0</v>
      </c>
      <c r="F744" t="s">
        <v>8</v>
      </c>
      <c r="G744" t="s">
        <v>14</v>
      </c>
      <c r="H744">
        <v>43254.417950000003</v>
      </c>
    </row>
    <row r="745" spans="1:8" x14ac:dyDescent="0.3">
      <c r="A745">
        <v>31</v>
      </c>
      <c r="B745" t="s">
        <v>7</v>
      </c>
      <c r="C745">
        <v>26.62</v>
      </c>
      <c r="D745" t="str">
        <f t="shared" si="12"/>
        <v>Overweight</v>
      </c>
      <c r="E745">
        <v>0</v>
      </c>
      <c r="F745" t="s">
        <v>11</v>
      </c>
      <c r="G745" t="s">
        <v>12</v>
      </c>
      <c r="H745">
        <v>3757.8447999999999</v>
      </c>
    </row>
    <row r="746" spans="1:8" x14ac:dyDescent="0.3">
      <c r="A746">
        <v>50</v>
      </c>
      <c r="B746" t="s">
        <v>10</v>
      </c>
      <c r="C746">
        <v>26.41</v>
      </c>
      <c r="D746" t="str">
        <f t="shared" si="12"/>
        <v>Overweight</v>
      </c>
      <c r="E746">
        <v>0</v>
      </c>
      <c r="F746" t="s">
        <v>11</v>
      </c>
      <c r="G746" t="s">
        <v>13</v>
      </c>
      <c r="H746">
        <v>8827.2098999999998</v>
      </c>
    </row>
    <row r="747" spans="1:8" x14ac:dyDescent="0.3">
      <c r="A747">
        <v>50</v>
      </c>
      <c r="B747" t="s">
        <v>7</v>
      </c>
      <c r="C747">
        <v>30.114999999999998</v>
      </c>
      <c r="D747" t="str">
        <f t="shared" si="12"/>
        <v>Obese</v>
      </c>
      <c r="E747">
        <v>1</v>
      </c>
      <c r="F747" t="s">
        <v>11</v>
      </c>
      <c r="G747" t="s">
        <v>13</v>
      </c>
      <c r="H747">
        <v>9910.3598500000007</v>
      </c>
    </row>
    <row r="748" spans="1:8" x14ac:dyDescent="0.3">
      <c r="A748">
        <v>34</v>
      </c>
      <c r="B748" t="s">
        <v>10</v>
      </c>
      <c r="C748">
        <v>27</v>
      </c>
      <c r="D748" t="str">
        <f t="shared" si="12"/>
        <v>Overweight</v>
      </c>
      <c r="E748">
        <v>2</v>
      </c>
      <c r="F748" t="s">
        <v>11</v>
      </c>
      <c r="G748" t="s">
        <v>9</v>
      </c>
      <c r="H748">
        <v>11737.848840000001</v>
      </c>
    </row>
    <row r="749" spans="1:8" x14ac:dyDescent="0.3">
      <c r="A749">
        <v>19</v>
      </c>
      <c r="B749" t="s">
        <v>10</v>
      </c>
      <c r="C749">
        <v>21.754999999999999</v>
      </c>
      <c r="D749" t="str">
        <f t="shared" si="12"/>
        <v>Normal</v>
      </c>
      <c r="E749">
        <v>0</v>
      </c>
      <c r="F749" t="s">
        <v>11</v>
      </c>
      <c r="G749" t="s">
        <v>13</v>
      </c>
      <c r="H749">
        <v>1627.2824499999999</v>
      </c>
    </row>
    <row r="750" spans="1:8" x14ac:dyDescent="0.3">
      <c r="A750">
        <v>47</v>
      </c>
      <c r="B750" t="s">
        <v>7</v>
      </c>
      <c r="C750">
        <v>36</v>
      </c>
      <c r="D750" t="str">
        <f t="shared" si="12"/>
        <v>Obese</v>
      </c>
      <c r="E750">
        <v>1</v>
      </c>
      <c r="F750" t="s">
        <v>11</v>
      </c>
      <c r="G750" t="s">
        <v>9</v>
      </c>
      <c r="H750">
        <v>8556.9069999999992</v>
      </c>
    </row>
    <row r="751" spans="1:8" x14ac:dyDescent="0.3">
      <c r="A751">
        <v>28</v>
      </c>
      <c r="B751" t="s">
        <v>10</v>
      </c>
      <c r="C751">
        <v>30.875</v>
      </c>
      <c r="D751" t="str">
        <f t="shared" si="12"/>
        <v>Obese</v>
      </c>
      <c r="E751">
        <v>0</v>
      </c>
      <c r="F751" t="s">
        <v>11</v>
      </c>
      <c r="G751" t="s">
        <v>13</v>
      </c>
      <c r="H751">
        <v>3062.5082499999999</v>
      </c>
    </row>
    <row r="752" spans="1:8" x14ac:dyDescent="0.3">
      <c r="A752">
        <v>37</v>
      </c>
      <c r="B752" t="s">
        <v>7</v>
      </c>
      <c r="C752">
        <v>26.4</v>
      </c>
      <c r="D752" t="str">
        <f t="shared" si="12"/>
        <v>Overweight</v>
      </c>
      <c r="E752">
        <v>0</v>
      </c>
      <c r="F752" t="s">
        <v>8</v>
      </c>
      <c r="G752" t="s">
        <v>12</v>
      </c>
      <c r="H752">
        <v>19539.242999999999</v>
      </c>
    </row>
    <row r="753" spans="1:8" x14ac:dyDescent="0.3">
      <c r="A753">
        <v>21</v>
      </c>
      <c r="B753" t="s">
        <v>10</v>
      </c>
      <c r="C753">
        <v>28.975000000000001</v>
      </c>
      <c r="D753" t="str">
        <f t="shared" si="12"/>
        <v>Overweight</v>
      </c>
      <c r="E753">
        <v>0</v>
      </c>
      <c r="F753" t="s">
        <v>11</v>
      </c>
      <c r="G753" t="s">
        <v>13</v>
      </c>
      <c r="H753">
        <v>1906.35825</v>
      </c>
    </row>
    <row r="754" spans="1:8" x14ac:dyDescent="0.3">
      <c r="A754">
        <v>64</v>
      </c>
      <c r="B754" t="s">
        <v>10</v>
      </c>
      <c r="C754">
        <v>37.905000000000001</v>
      </c>
      <c r="D754" t="str">
        <f t="shared" si="12"/>
        <v>Obese</v>
      </c>
      <c r="E754">
        <v>0</v>
      </c>
      <c r="F754" t="s">
        <v>11</v>
      </c>
      <c r="G754" t="s">
        <v>13</v>
      </c>
      <c r="H754">
        <v>14210.53595</v>
      </c>
    </row>
    <row r="755" spans="1:8" x14ac:dyDescent="0.3">
      <c r="A755">
        <v>58</v>
      </c>
      <c r="B755" t="s">
        <v>7</v>
      </c>
      <c r="C755">
        <v>22.77</v>
      </c>
      <c r="D755" t="str">
        <f t="shared" si="12"/>
        <v>Normal</v>
      </c>
      <c r="E755">
        <v>0</v>
      </c>
      <c r="F755" t="s">
        <v>11</v>
      </c>
      <c r="G755" t="s">
        <v>12</v>
      </c>
      <c r="H755">
        <v>11833.782300000001</v>
      </c>
    </row>
    <row r="756" spans="1:8" x14ac:dyDescent="0.3">
      <c r="A756">
        <v>24</v>
      </c>
      <c r="B756" t="s">
        <v>10</v>
      </c>
      <c r="C756">
        <v>33.630000000000003</v>
      </c>
      <c r="D756" t="str">
        <f t="shared" si="12"/>
        <v>Obese</v>
      </c>
      <c r="E756">
        <v>4</v>
      </c>
      <c r="F756" t="s">
        <v>11</v>
      </c>
      <c r="G756" t="s">
        <v>14</v>
      </c>
      <c r="H756">
        <v>17128.426080000001</v>
      </c>
    </row>
    <row r="757" spans="1:8" x14ac:dyDescent="0.3">
      <c r="A757">
        <v>31</v>
      </c>
      <c r="B757" t="s">
        <v>10</v>
      </c>
      <c r="C757">
        <v>27.645</v>
      </c>
      <c r="D757" t="str">
        <f t="shared" si="12"/>
        <v>Overweight</v>
      </c>
      <c r="E757">
        <v>2</v>
      </c>
      <c r="F757" t="s">
        <v>11</v>
      </c>
      <c r="G757" t="s">
        <v>14</v>
      </c>
      <c r="H757">
        <v>5031.26955</v>
      </c>
    </row>
    <row r="758" spans="1:8" x14ac:dyDescent="0.3">
      <c r="A758">
        <v>39</v>
      </c>
      <c r="B758" t="s">
        <v>7</v>
      </c>
      <c r="C758">
        <v>22.8</v>
      </c>
      <c r="D758" t="str">
        <f t="shared" si="12"/>
        <v>Normal</v>
      </c>
      <c r="E758">
        <v>3</v>
      </c>
      <c r="F758" t="s">
        <v>11</v>
      </c>
      <c r="G758" t="s">
        <v>14</v>
      </c>
      <c r="H758">
        <v>7985.8149999999996</v>
      </c>
    </row>
    <row r="759" spans="1:8" x14ac:dyDescent="0.3">
      <c r="A759">
        <v>47</v>
      </c>
      <c r="B759" t="s">
        <v>7</v>
      </c>
      <c r="C759">
        <v>27.83</v>
      </c>
      <c r="D759" t="str">
        <f t="shared" si="12"/>
        <v>Overweight</v>
      </c>
      <c r="E759">
        <v>0</v>
      </c>
      <c r="F759" t="s">
        <v>8</v>
      </c>
      <c r="G759" t="s">
        <v>12</v>
      </c>
      <c r="H759">
        <v>23065.420699999999</v>
      </c>
    </row>
    <row r="760" spans="1:8" x14ac:dyDescent="0.3">
      <c r="A760">
        <v>30</v>
      </c>
      <c r="B760" t="s">
        <v>10</v>
      </c>
      <c r="C760">
        <v>37.43</v>
      </c>
      <c r="D760" t="str">
        <f t="shared" si="12"/>
        <v>Obese</v>
      </c>
      <c r="E760">
        <v>3</v>
      </c>
      <c r="F760" t="s">
        <v>11</v>
      </c>
      <c r="G760" t="s">
        <v>14</v>
      </c>
      <c r="H760">
        <v>5428.7277000000004</v>
      </c>
    </row>
    <row r="761" spans="1:8" x14ac:dyDescent="0.3">
      <c r="A761">
        <v>18</v>
      </c>
      <c r="B761" t="s">
        <v>10</v>
      </c>
      <c r="C761">
        <v>38.17</v>
      </c>
      <c r="D761" t="str">
        <f t="shared" si="12"/>
        <v>Obese</v>
      </c>
      <c r="E761">
        <v>0</v>
      </c>
      <c r="F761" t="s">
        <v>8</v>
      </c>
      <c r="G761" t="s">
        <v>12</v>
      </c>
      <c r="H761">
        <v>36307.798300000002</v>
      </c>
    </row>
    <row r="762" spans="1:8" x14ac:dyDescent="0.3">
      <c r="A762">
        <v>22</v>
      </c>
      <c r="B762" t="s">
        <v>7</v>
      </c>
      <c r="C762">
        <v>34.58</v>
      </c>
      <c r="D762" t="str">
        <f t="shared" si="12"/>
        <v>Obese</v>
      </c>
      <c r="E762">
        <v>2</v>
      </c>
      <c r="F762" t="s">
        <v>11</v>
      </c>
      <c r="G762" t="s">
        <v>14</v>
      </c>
      <c r="H762">
        <v>3925.7582000000002</v>
      </c>
    </row>
    <row r="763" spans="1:8" x14ac:dyDescent="0.3">
      <c r="A763">
        <v>23</v>
      </c>
      <c r="B763" t="s">
        <v>10</v>
      </c>
      <c r="C763">
        <v>35.200000000000003</v>
      </c>
      <c r="D763" t="str">
        <f t="shared" si="12"/>
        <v>Obese</v>
      </c>
      <c r="E763">
        <v>1</v>
      </c>
      <c r="F763" t="s">
        <v>11</v>
      </c>
      <c r="G763" t="s">
        <v>9</v>
      </c>
      <c r="H763">
        <v>2416.9549999999999</v>
      </c>
    </row>
    <row r="764" spans="1:8" x14ac:dyDescent="0.3">
      <c r="A764">
        <v>33</v>
      </c>
      <c r="B764" t="s">
        <v>10</v>
      </c>
      <c r="C764">
        <v>27.1</v>
      </c>
      <c r="D764" t="str">
        <f t="shared" si="12"/>
        <v>Overweight</v>
      </c>
      <c r="E764">
        <v>1</v>
      </c>
      <c r="F764" t="s">
        <v>8</v>
      </c>
      <c r="G764" t="s">
        <v>9</v>
      </c>
      <c r="H764">
        <v>19040.876</v>
      </c>
    </row>
    <row r="765" spans="1:8" x14ac:dyDescent="0.3">
      <c r="A765">
        <v>27</v>
      </c>
      <c r="B765" t="s">
        <v>10</v>
      </c>
      <c r="C765">
        <v>26.03</v>
      </c>
      <c r="D765" t="str">
        <f t="shared" si="12"/>
        <v>Overweight</v>
      </c>
      <c r="E765">
        <v>0</v>
      </c>
      <c r="F765" t="s">
        <v>11</v>
      </c>
      <c r="G765" t="s">
        <v>14</v>
      </c>
      <c r="H765">
        <v>3070.8087</v>
      </c>
    </row>
    <row r="766" spans="1:8" x14ac:dyDescent="0.3">
      <c r="A766">
        <v>45</v>
      </c>
      <c r="B766" t="s">
        <v>7</v>
      </c>
      <c r="C766">
        <v>25.175000000000001</v>
      </c>
      <c r="D766" t="str">
        <f t="shared" si="12"/>
        <v>Overweight</v>
      </c>
      <c r="E766">
        <v>2</v>
      </c>
      <c r="F766" t="s">
        <v>11</v>
      </c>
      <c r="G766" t="s">
        <v>14</v>
      </c>
      <c r="H766">
        <v>9095.0682500000003</v>
      </c>
    </row>
    <row r="767" spans="1:8" x14ac:dyDescent="0.3">
      <c r="A767">
        <v>57</v>
      </c>
      <c r="B767" t="s">
        <v>7</v>
      </c>
      <c r="C767">
        <v>31.824999999999999</v>
      </c>
      <c r="D767" t="str">
        <f t="shared" si="12"/>
        <v>Obese</v>
      </c>
      <c r="E767">
        <v>0</v>
      </c>
      <c r="F767" t="s">
        <v>11</v>
      </c>
      <c r="G767" t="s">
        <v>13</v>
      </c>
      <c r="H767">
        <v>11842.623750000001</v>
      </c>
    </row>
    <row r="768" spans="1:8" x14ac:dyDescent="0.3">
      <c r="A768">
        <v>47</v>
      </c>
      <c r="B768" t="s">
        <v>10</v>
      </c>
      <c r="C768">
        <v>32.299999999999997</v>
      </c>
      <c r="D768" t="str">
        <f t="shared" si="12"/>
        <v>Obese</v>
      </c>
      <c r="E768">
        <v>1</v>
      </c>
      <c r="F768" t="s">
        <v>11</v>
      </c>
      <c r="G768" t="s">
        <v>9</v>
      </c>
      <c r="H768">
        <v>8062.7640000000001</v>
      </c>
    </row>
    <row r="769" spans="1:8" x14ac:dyDescent="0.3">
      <c r="A769">
        <v>42</v>
      </c>
      <c r="B769" t="s">
        <v>7</v>
      </c>
      <c r="C769">
        <v>29</v>
      </c>
      <c r="D769" t="str">
        <f t="shared" si="12"/>
        <v>Overweight</v>
      </c>
      <c r="E769">
        <v>1</v>
      </c>
      <c r="F769" t="s">
        <v>11</v>
      </c>
      <c r="G769" t="s">
        <v>9</v>
      </c>
      <c r="H769">
        <v>7050.6419999999998</v>
      </c>
    </row>
    <row r="770" spans="1:8" x14ac:dyDescent="0.3">
      <c r="A770">
        <v>64</v>
      </c>
      <c r="B770" t="s">
        <v>7</v>
      </c>
      <c r="C770">
        <v>39.700000000000003</v>
      </c>
      <c r="D770" t="str">
        <f t="shared" si="12"/>
        <v>Obese</v>
      </c>
      <c r="E770">
        <v>0</v>
      </c>
      <c r="F770" t="s">
        <v>11</v>
      </c>
      <c r="G770" t="s">
        <v>9</v>
      </c>
      <c r="H770">
        <v>14319.031000000001</v>
      </c>
    </row>
    <row r="771" spans="1:8" x14ac:dyDescent="0.3">
      <c r="A771">
        <v>38</v>
      </c>
      <c r="B771" t="s">
        <v>7</v>
      </c>
      <c r="C771">
        <v>19.475000000000001</v>
      </c>
      <c r="D771" t="str">
        <f t="shared" si="12"/>
        <v>Normal</v>
      </c>
      <c r="E771">
        <v>2</v>
      </c>
      <c r="F771" t="s">
        <v>11</v>
      </c>
      <c r="G771" t="s">
        <v>13</v>
      </c>
      <c r="H771">
        <v>6933.2422500000002</v>
      </c>
    </row>
    <row r="772" spans="1:8" x14ac:dyDescent="0.3">
      <c r="A772">
        <v>61</v>
      </c>
      <c r="B772" t="s">
        <v>10</v>
      </c>
      <c r="C772">
        <v>36.1</v>
      </c>
      <c r="D772" t="str">
        <f t="shared" si="12"/>
        <v>Obese</v>
      </c>
      <c r="E772">
        <v>3</v>
      </c>
      <c r="F772" t="s">
        <v>11</v>
      </c>
      <c r="G772" t="s">
        <v>9</v>
      </c>
      <c r="H772">
        <v>27941.28758</v>
      </c>
    </row>
    <row r="773" spans="1:8" x14ac:dyDescent="0.3">
      <c r="A773">
        <v>53</v>
      </c>
      <c r="B773" t="s">
        <v>7</v>
      </c>
      <c r="C773">
        <v>26.7</v>
      </c>
      <c r="D773" t="str">
        <f t="shared" si="12"/>
        <v>Overweight</v>
      </c>
      <c r="E773">
        <v>2</v>
      </c>
      <c r="F773" t="s">
        <v>11</v>
      </c>
      <c r="G773" t="s">
        <v>9</v>
      </c>
      <c r="H773">
        <v>11150.78</v>
      </c>
    </row>
    <row r="774" spans="1:8" x14ac:dyDescent="0.3">
      <c r="A774">
        <v>44</v>
      </c>
      <c r="B774" t="s">
        <v>7</v>
      </c>
      <c r="C774">
        <v>36.479999999999997</v>
      </c>
      <c r="D774" t="str">
        <f t="shared" si="12"/>
        <v>Obese</v>
      </c>
      <c r="E774">
        <v>0</v>
      </c>
      <c r="F774" t="s">
        <v>11</v>
      </c>
      <c r="G774" t="s">
        <v>14</v>
      </c>
      <c r="H774">
        <v>12797.20962</v>
      </c>
    </row>
    <row r="775" spans="1:8" x14ac:dyDescent="0.3">
      <c r="A775">
        <v>19</v>
      </c>
      <c r="B775" t="s">
        <v>7</v>
      </c>
      <c r="C775">
        <v>28.88</v>
      </c>
      <c r="D775" t="str">
        <f t="shared" si="12"/>
        <v>Overweight</v>
      </c>
      <c r="E775">
        <v>0</v>
      </c>
      <c r="F775" t="s">
        <v>8</v>
      </c>
      <c r="G775" t="s">
        <v>13</v>
      </c>
      <c r="H775">
        <v>17748.5062</v>
      </c>
    </row>
    <row r="776" spans="1:8" x14ac:dyDescent="0.3">
      <c r="A776">
        <v>41</v>
      </c>
      <c r="B776" t="s">
        <v>10</v>
      </c>
      <c r="C776">
        <v>34.200000000000003</v>
      </c>
      <c r="D776" t="str">
        <f t="shared" si="12"/>
        <v>Obese</v>
      </c>
      <c r="E776">
        <v>2</v>
      </c>
      <c r="F776" t="s">
        <v>11</v>
      </c>
      <c r="G776" t="s">
        <v>13</v>
      </c>
      <c r="H776">
        <v>7261.741</v>
      </c>
    </row>
    <row r="777" spans="1:8" x14ac:dyDescent="0.3">
      <c r="A777">
        <v>51</v>
      </c>
      <c r="B777" t="s">
        <v>10</v>
      </c>
      <c r="C777">
        <v>33.33</v>
      </c>
      <c r="D777" t="str">
        <f t="shared" si="12"/>
        <v>Obese</v>
      </c>
      <c r="E777">
        <v>3</v>
      </c>
      <c r="F777" t="s">
        <v>11</v>
      </c>
      <c r="G777" t="s">
        <v>12</v>
      </c>
      <c r="H777">
        <v>10560.4917</v>
      </c>
    </row>
    <row r="778" spans="1:8" x14ac:dyDescent="0.3">
      <c r="A778">
        <v>40</v>
      </c>
      <c r="B778" t="s">
        <v>10</v>
      </c>
      <c r="C778">
        <v>32.299999999999997</v>
      </c>
      <c r="D778" t="str">
        <f t="shared" si="12"/>
        <v>Obese</v>
      </c>
      <c r="E778">
        <v>2</v>
      </c>
      <c r="F778" t="s">
        <v>11</v>
      </c>
      <c r="G778" t="s">
        <v>13</v>
      </c>
      <c r="H778">
        <v>6986.6970000000001</v>
      </c>
    </row>
    <row r="779" spans="1:8" x14ac:dyDescent="0.3">
      <c r="A779">
        <v>45</v>
      </c>
      <c r="B779" t="s">
        <v>10</v>
      </c>
      <c r="C779">
        <v>39.805</v>
      </c>
      <c r="D779" t="str">
        <f t="shared" si="12"/>
        <v>Obese</v>
      </c>
      <c r="E779">
        <v>0</v>
      </c>
      <c r="F779" t="s">
        <v>11</v>
      </c>
      <c r="G779" t="s">
        <v>14</v>
      </c>
      <c r="H779">
        <v>7448.4039499999999</v>
      </c>
    </row>
    <row r="780" spans="1:8" x14ac:dyDescent="0.3">
      <c r="A780">
        <v>35</v>
      </c>
      <c r="B780" t="s">
        <v>10</v>
      </c>
      <c r="C780">
        <v>34.32</v>
      </c>
      <c r="D780" t="str">
        <f t="shared" si="12"/>
        <v>Obese</v>
      </c>
      <c r="E780">
        <v>3</v>
      </c>
      <c r="F780" t="s">
        <v>11</v>
      </c>
      <c r="G780" t="s">
        <v>12</v>
      </c>
      <c r="H780">
        <v>5934.3797999999997</v>
      </c>
    </row>
    <row r="781" spans="1:8" x14ac:dyDescent="0.3">
      <c r="A781">
        <v>53</v>
      </c>
      <c r="B781" t="s">
        <v>10</v>
      </c>
      <c r="C781">
        <v>28.88</v>
      </c>
      <c r="D781" t="str">
        <f t="shared" si="12"/>
        <v>Overweight</v>
      </c>
      <c r="E781">
        <v>0</v>
      </c>
      <c r="F781" t="s">
        <v>11</v>
      </c>
      <c r="G781" t="s">
        <v>13</v>
      </c>
      <c r="H781">
        <v>9869.8101999999999</v>
      </c>
    </row>
    <row r="782" spans="1:8" x14ac:dyDescent="0.3">
      <c r="A782">
        <v>30</v>
      </c>
      <c r="B782" t="s">
        <v>10</v>
      </c>
      <c r="C782">
        <v>24.4</v>
      </c>
      <c r="D782" t="str">
        <f t="shared" si="12"/>
        <v>Normal</v>
      </c>
      <c r="E782">
        <v>3</v>
      </c>
      <c r="F782" t="s">
        <v>8</v>
      </c>
      <c r="G782" t="s">
        <v>9</v>
      </c>
      <c r="H782">
        <v>18259.216</v>
      </c>
    </row>
    <row r="783" spans="1:8" x14ac:dyDescent="0.3">
      <c r="A783">
        <v>18</v>
      </c>
      <c r="B783" t="s">
        <v>10</v>
      </c>
      <c r="C783">
        <v>41.14</v>
      </c>
      <c r="D783" t="str">
        <f t="shared" si="12"/>
        <v>Obese</v>
      </c>
      <c r="E783">
        <v>0</v>
      </c>
      <c r="F783" t="s">
        <v>11</v>
      </c>
      <c r="G783" t="s">
        <v>12</v>
      </c>
      <c r="H783">
        <v>1146.7965999999999</v>
      </c>
    </row>
    <row r="784" spans="1:8" x14ac:dyDescent="0.3">
      <c r="A784">
        <v>51</v>
      </c>
      <c r="B784" t="s">
        <v>10</v>
      </c>
      <c r="C784">
        <v>35.97</v>
      </c>
      <c r="D784" t="str">
        <f t="shared" si="12"/>
        <v>Obese</v>
      </c>
      <c r="E784">
        <v>1</v>
      </c>
      <c r="F784" t="s">
        <v>11</v>
      </c>
      <c r="G784" t="s">
        <v>12</v>
      </c>
      <c r="H784">
        <v>9386.1612999999998</v>
      </c>
    </row>
    <row r="785" spans="1:8" x14ac:dyDescent="0.3">
      <c r="A785">
        <v>50</v>
      </c>
      <c r="B785" t="s">
        <v>7</v>
      </c>
      <c r="C785">
        <v>27.6</v>
      </c>
      <c r="D785" t="str">
        <f t="shared" si="12"/>
        <v>Overweight</v>
      </c>
      <c r="E785">
        <v>1</v>
      </c>
      <c r="F785" t="s">
        <v>8</v>
      </c>
      <c r="G785" t="s">
        <v>9</v>
      </c>
      <c r="H785">
        <v>24520.263999999999</v>
      </c>
    </row>
    <row r="786" spans="1:8" x14ac:dyDescent="0.3">
      <c r="A786">
        <v>31</v>
      </c>
      <c r="B786" t="s">
        <v>7</v>
      </c>
      <c r="C786">
        <v>29.26</v>
      </c>
      <c r="D786" t="str">
        <f t="shared" si="12"/>
        <v>Overweight</v>
      </c>
      <c r="E786">
        <v>1</v>
      </c>
      <c r="F786" t="s">
        <v>11</v>
      </c>
      <c r="G786" t="s">
        <v>12</v>
      </c>
      <c r="H786">
        <v>4350.5144</v>
      </c>
    </row>
    <row r="787" spans="1:8" x14ac:dyDescent="0.3">
      <c r="A787">
        <v>35</v>
      </c>
      <c r="B787" t="s">
        <v>7</v>
      </c>
      <c r="C787">
        <v>27.7</v>
      </c>
      <c r="D787" t="str">
        <f t="shared" si="12"/>
        <v>Overweight</v>
      </c>
      <c r="E787">
        <v>3</v>
      </c>
      <c r="F787" t="s">
        <v>11</v>
      </c>
      <c r="G787" t="s">
        <v>9</v>
      </c>
      <c r="H787">
        <v>6414.1779999999999</v>
      </c>
    </row>
    <row r="788" spans="1:8" x14ac:dyDescent="0.3">
      <c r="A788">
        <v>60</v>
      </c>
      <c r="B788" t="s">
        <v>10</v>
      </c>
      <c r="C788">
        <v>36.954999999999998</v>
      </c>
      <c r="D788" t="str">
        <f t="shared" si="12"/>
        <v>Obese</v>
      </c>
      <c r="E788">
        <v>0</v>
      </c>
      <c r="F788" t="s">
        <v>11</v>
      </c>
      <c r="G788" t="s">
        <v>14</v>
      </c>
      <c r="H788">
        <v>12741.167450000001</v>
      </c>
    </row>
    <row r="789" spans="1:8" x14ac:dyDescent="0.3">
      <c r="A789">
        <v>21</v>
      </c>
      <c r="B789" t="s">
        <v>10</v>
      </c>
      <c r="C789">
        <v>36.86</v>
      </c>
      <c r="D789" t="str">
        <f t="shared" ref="D789:D852" si="13">IF(C789&lt;18.5,"Underweight",IF(C789&lt;24.9,"Normal",IF(C789&lt;30,"Overweight","Obese")))</f>
        <v>Obese</v>
      </c>
      <c r="E789">
        <v>0</v>
      </c>
      <c r="F789" t="s">
        <v>11</v>
      </c>
      <c r="G789" t="s">
        <v>13</v>
      </c>
      <c r="H789">
        <v>1917.3184000000001</v>
      </c>
    </row>
    <row r="790" spans="1:8" x14ac:dyDescent="0.3">
      <c r="A790">
        <v>29</v>
      </c>
      <c r="B790" t="s">
        <v>10</v>
      </c>
      <c r="C790">
        <v>22.515000000000001</v>
      </c>
      <c r="D790" t="str">
        <f t="shared" si="13"/>
        <v>Normal</v>
      </c>
      <c r="E790">
        <v>3</v>
      </c>
      <c r="F790" t="s">
        <v>11</v>
      </c>
      <c r="G790" t="s">
        <v>14</v>
      </c>
      <c r="H790">
        <v>5209.5788499999999</v>
      </c>
    </row>
    <row r="791" spans="1:8" x14ac:dyDescent="0.3">
      <c r="A791">
        <v>62</v>
      </c>
      <c r="B791" t="s">
        <v>7</v>
      </c>
      <c r="C791">
        <v>29.92</v>
      </c>
      <c r="D791" t="str">
        <f t="shared" si="13"/>
        <v>Overweight</v>
      </c>
      <c r="E791">
        <v>0</v>
      </c>
      <c r="F791" t="s">
        <v>11</v>
      </c>
      <c r="G791" t="s">
        <v>12</v>
      </c>
      <c r="H791">
        <v>13457.960800000001</v>
      </c>
    </row>
    <row r="792" spans="1:8" x14ac:dyDescent="0.3">
      <c r="A792">
        <v>39</v>
      </c>
      <c r="B792" t="s">
        <v>7</v>
      </c>
      <c r="C792">
        <v>41.8</v>
      </c>
      <c r="D792" t="str">
        <f t="shared" si="13"/>
        <v>Obese</v>
      </c>
      <c r="E792">
        <v>0</v>
      </c>
      <c r="F792" t="s">
        <v>11</v>
      </c>
      <c r="G792" t="s">
        <v>12</v>
      </c>
      <c r="H792">
        <v>5662.2250000000004</v>
      </c>
    </row>
    <row r="793" spans="1:8" x14ac:dyDescent="0.3">
      <c r="A793">
        <v>19</v>
      </c>
      <c r="B793" t="s">
        <v>10</v>
      </c>
      <c r="C793">
        <v>27.6</v>
      </c>
      <c r="D793" t="str">
        <f t="shared" si="13"/>
        <v>Overweight</v>
      </c>
      <c r="E793">
        <v>0</v>
      </c>
      <c r="F793" t="s">
        <v>11</v>
      </c>
      <c r="G793" t="s">
        <v>9</v>
      </c>
      <c r="H793">
        <v>1252.4069999999999</v>
      </c>
    </row>
    <row r="794" spans="1:8" x14ac:dyDescent="0.3">
      <c r="A794">
        <v>22</v>
      </c>
      <c r="B794" t="s">
        <v>7</v>
      </c>
      <c r="C794">
        <v>23.18</v>
      </c>
      <c r="D794" t="str">
        <f t="shared" si="13"/>
        <v>Normal</v>
      </c>
      <c r="E794">
        <v>0</v>
      </c>
      <c r="F794" t="s">
        <v>11</v>
      </c>
      <c r="G794" t="s">
        <v>14</v>
      </c>
      <c r="H794">
        <v>2731.9122000000002</v>
      </c>
    </row>
    <row r="795" spans="1:8" x14ac:dyDescent="0.3">
      <c r="A795">
        <v>53</v>
      </c>
      <c r="B795" t="s">
        <v>10</v>
      </c>
      <c r="C795">
        <v>20.9</v>
      </c>
      <c r="D795" t="str">
        <f t="shared" si="13"/>
        <v>Normal</v>
      </c>
      <c r="E795">
        <v>0</v>
      </c>
      <c r="F795" t="s">
        <v>8</v>
      </c>
      <c r="G795" t="s">
        <v>12</v>
      </c>
      <c r="H795">
        <v>21195.817999999999</v>
      </c>
    </row>
    <row r="796" spans="1:8" x14ac:dyDescent="0.3">
      <c r="A796">
        <v>39</v>
      </c>
      <c r="B796" t="s">
        <v>7</v>
      </c>
      <c r="C796">
        <v>31.92</v>
      </c>
      <c r="D796" t="str">
        <f t="shared" si="13"/>
        <v>Obese</v>
      </c>
      <c r="E796">
        <v>2</v>
      </c>
      <c r="F796" t="s">
        <v>11</v>
      </c>
      <c r="G796" t="s">
        <v>13</v>
      </c>
      <c r="H796">
        <v>7209.4917999999998</v>
      </c>
    </row>
    <row r="797" spans="1:8" x14ac:dyDescent="0.3">
      <c r="A797">
        <v>27</v>
      </c>
      <c r="B797" t="s">
        <v>10</v>
      </c>
      <c r="C797">
        <v>28.5</v>
      </c>
      <c r="D797" t="str">
        <f t="shared" si="13"/>
        <v>Overweight</v>
      </c>
      <c r="E797">
        <v>0</v>
      </c>
      <c r="F797" t="s">
        <v>8</v>
      </c>
      <c r="G797" t="s">
        <v>13</v>
      </c>
      <c r="H797">
        <v>18310.741999999998</v>
      </c>
    </row>
    <row r="798" spans="1:8" x14ac:dyDescent="0.3">
      <c r="A798">
        <v>30</v>
      </c>
      <c r="B798" t="s">
        <v>10</v>
      </c>
      <c r="C798">
        <v>44.22</v>
      </c>
      <c r="D798" t="str">
        <f t="shared" si="13"/>
        <v>Obese</v>
      </c>
      <c r="E798">
        <v>2</v>
      </c>
      <c r="F798" t="s">
        <v>11</v>
      </c>
      <c r="G798" t="s">
        <v>12</v>
      </c>
      <c r="H798">
        <v>4266.1657999999998</v>
      </c>
    </row>
    <row r="799" spans="1:8" x14ac:dyDescent="0.3">
      <c r="A799">
        <v>30</v>
      </c>
      <c r="B799" t="s">
        <v>7</v>
      </c>
      <c r="C799">
        <v>22.895</v>
      </c>
      <c r="D799" t="str">
        <f t="shared" si="13"/>
        <v>Normal</v>
      </c>
      <c r="E799">
        <v>1</v>
      </c>
      <c r="F799" t="s">
        <v>11</v>
      </c>
      <c r="G799" t="s">
        <v>14</v>
      </c>
      <c r="H799">
        <v>4719.52405</v>
      </c>
    </row>
    <row r="800" spans="1:8" x14ac:dyDescent="0.3">
      <c r="A800">
        <v>58</v>
      </c>
      <c r="B800" t="s">
        <v>7</v>
      </c>
      <c r="C800">
        <v>33.1</v>
      </c>
      <c r="D800" t="str">
        <f t="shared" si="13"/>
        <v>Obese</v>
      </c>
      <c r="E800">
        <v>0</v>
      </c>
      <c r="F800" t="s">
        <v>11</v>
      </c>
      <c r="G800" t="s">
        <v>9</v>
      </c>
      <c r="H800">
        <v>11848.141</v>
      </c>
    </row>
    <row r="801" spans="1:8" x14ac:dyDescent="0.3">
      <c r="A801">
        <v>33</v>
      </c>
      <c r="B801" t="s">
        <v>10</v>
      </c>
      <c r="C801">
        <v>24.795000000000002</v>
      </c>
      <c r="D801" t="str">
        <f t="shared" si="13"/>
        <v>Normal</v>
      </c>
      <c r="E801">
        <v>0</v>
      </c>
      <c r="F801" t="s">
        <v>8</v>
      </c>
      <c r="G801" t="s">
        <v>14</v>
      </c>
      <c r="H801">
        <v>17904.527050000001</v>
      </c>
    </row>
    <row r="802" spans="1:8" x14ac:dyDescent="0.3">
      <c r="A802">
        <v>42</v>
      </c>
      <c r="B802" t="s">
        <v>7</v>
      </c>
      <c r="C802">
        <v>26.18</v>
      </c>
      <c r="D802" t="str">
        <f t="shared" si="13"/>
        <v>Overweight</v>
      </c>
      <c r="E802">
        <v>1</v>
      </c>
      <c r="F802" t="s">
        <v>11</v>
      </c>
      <c r="G802" t="s">
        <v>12</v>
      </c>
      <c r="H802">
        <v>7046.7222000000002</v>
      </c>
    </row>
    <row r="803" spans="1:8" x14ac:dyDescent="0.3">
      <c r="A803">
        <v>64</v>
      </c>
      <c r="B803" t="s">
        <v>7</v>
      </c>
      <c r="C803">
        <v>35.97</v>
      </c>
      <c r="D803" t="str">
        <f t="shared" si="13"/>
        <v>Obese</v>
      </c>
      <c r="E803">
        <v>0</v>
      </c>
      <c r="F803" t="s">
        <v>11</v>
      </c>
      <c r="G803" t="s">
        <v>12</v>
      </c>
      <c r="H803">
        <v>14313.846299999999</v>
      </c>
    </row>
    <row r="804" spans="1:8" x14ac:dyDescent="0.3">
      <c r="A804">
        <v>21</v>
      </c>
      <c r="B804" t="s">
        <v>10</v>
      </c>
      <c r="C804">
        <v>22.3</v>
      </c>
      <c r="D804" t="str">
        <f t="shared" si="13"/>
        <v>Normal</v>
      </c>
      <c r="E804">
        <v>1</v>
      </c>
      <c r="F804" t="s">
        <v>11</v>
      </c>
      <c r="G804" t="s">
        <v>9</v>
      </c>
      <c r="H804">
        <v>2103.08</v>
      </c>
    </row>
    <row r="805" spans="1:8" x14ac:dyDescent="0.3">
      <c r="A805">
        <v>18</v>
      </c>
      <c r="B805" t="s">
        <v>7</v>
      </c>
      <c r="C805">
        <v>42.24</v>
      </c>
      <c r="D805" t="str">
        <f t="shared" si="13"/>
        <v>Obese</v>
      </c>
      <c r="E805">
        <v>0</v>
      </c>
      <c r="F805" t="s">
        <v>8</v>
      </c>
      <c r="G805" t="s">
        <v>12</v>
      </c>
      <c r="H805">
        <v>38792.685599999997</v>
      </c>
    </row>
    <row r="806" spans="1:8" x14ac:dyDescent="0.3">
      <c r="A806">
        <v>23</v>
      </c>
      <c r="B806" t="s">
        <v>10</v>
      </c>
      <c r="C806">
        <v>26.51</v>
      </c>
      <c r="D806" t="str">
        <f t="shared" si="13"/>
        <v>Overweight</v>
      </c>
      <c r="E806">
        <v>0</v>
      </c>
      <c r="F806" t="s">
        <v>11</v>
      </c>
      <c r="G806" t="s">
        <v>12</v>
      </c>
      <c r="H806">
        <v>1815.8759</v>
      </c>
    </row>
    <row r="807" spans="1:8" x14ac:dyDescent="0.3">
      <c r="A807">
        <v>45</v>
      </c>
      <c r="B807" t="s">
        <v>7</v>
      </c>
      <c r="C807">
        <v>35.814999999999998</v>
      </c>
      <c r="D807" t="str">
        <f t="shared" si="13"/>
        <v>Obese</v>
      </c>
      <c r="E807">
        <v>0</v>
      </c>
      <c r="F807" t="s">
        <v>11</v>
      </c>
      <c r="G807" t="s">
        <v>13</v>
      </c>
      <c r="H807">
        <v>7731.8578500000003</v>
      </c>
    </row>
    <row r="808" spans="1:8" x14ac:dyDescent="0.3">
      <c r="A808">
        <v>40</v>
      </c>
      <c r="B808" t="s">
        <v>7</v>
      </c>
      <c r="C808">
        <v>41.42</v>
      </c>
      <c r="D808" t="str">
        <f t="shared" si="13"/>
        <v>Obese</v>
      </c>
      <c r="E808">
        <v>1</v>
      </c>
      <c r="F808" t="s">
        <v>11</v>
      </c>
      <c r="G808" t="s">
        <v>13</v>
      </c>
      <c r="H808">
        <v>28476.734990000001</v>
      </c>
    </row>
    <row r="809" spans="1:8" x14ac:dyDescent="0.3">
      <c r="A809">
        <v>19</v>
      </c>
      <c r="B809" t="s">
        <v>7</v>
      </c>
      <c r="C809">
        <v>36.575000000000003</v>
      </c>
      <c r="D809" t="str">
        <f t="shared" si="13"/>
        <v>Obese</v>
      </c>
      <c r="E809">
        <v>0</v>
      </c>
      <c r="F809" t="s">
        <v>11</v>
      </c>
      <c r="G809" t="s">
        <v>13</v>
      </c>
      <c r="H809">
        <v>2136.8822500000001</v>
      </c>
    </row>
    <row r="810" spans="1:8" x14ac:dyDescent="0.3">
      <c r="A810">
        <v>18</v>
      </c>
      <c r="B810" t="s">
        <v>10</v>
      </c>
      <c r="C810">
        <v>30.14</v>
      </c>
      <c r="D810" t="str">
        <f t="shared" si="13"/>
        <v>Obese</v>
      </c>
      <c r="E810">
        <v>0</v>
      </c>
      <c r="F810" t="s">
        <v>11</v>
      </c>
      <c r="G810" t="s">
        <v>12</v>
      </c>
      <c r="H810">
        <v>1131.5065999999999</v>
      </c>
    </row>
    <row r="811" spans="1:8" x14ac:dyDescent="0.3">
      <c r="A811">
        <v>25</v>
      </c>
      <c r="B811" t="s">
        <v>10</v>
      </c>
      <c r="C811">
        <v>25.84</v>
      </c>
      <c r="D811" t="str">
        <f t="shared" si="13"/>
        <v>Overweight</v>
      </c>
      <c r="E811">
        <v>1</v>
      </c>
      <c r="F811" t="s">
        <v>11</v>
      </c>
      <c r="G811" t="s">
        <v>14</v>
      </c>
      <c r="H811">
        <v>3309.7926000000002</v>
      </c>
    </row>
    <row r="812" spans="1:8" x14ac:dyDescent="0.3">
      <c r="A812">
        <v>46</v>
      </c>
      <c r="B812" t="s">
        <v>7</v>
      </c>
      <c r="C812">
        <v>30.8</v>
      </c>
      <c r="D812" t="str">
        <f t="shared" si="13"/>
        <v>Obese</v>
      </c>
      <c r="E812">
        <v>3</v>
      </c>
      <c r="F812" t="s">
        <v>11</v>
      </c>
      <c r="G812" t="s">
        <v>9</v>
      </c>
      <c r="H812">
        <v>9414.92</v>
      </c>
    </row>
    <row r="813" spans="1:8" x14ac:dyDescent="0.3">
      <c r="A813">
        <v>33</v>
      </c>
      <c r="B813" t="s">
        <v>7</v>
      </c>
      <c r="C813">
        <v>42.94</v>
      </c>
      <c r="D813" t="str">
        <f t="shared" si="13"/>
        <v>Obese</v>
      </c>
      <c r="E813">
        <v>3</v>
      </c>
      <c r="F813" t="s">
        <v>11</v>
      </c>
      <c r="G813" t="s">
        <v>13</v>
      </c>
      <c r="H813">
        <v>6360.9935999999998</v>
      </c>
    </row>
    <row r="814" spans="1:8" x14ac:dyDescent="0.3">
      <c r="A814">
        <v>54</v>
      </c>
      <c r="B814" t="s">
        <v>10</v>
      </c>
      <c r="C814">
        <v>21.01</v>
      </c>
      <c r="D814" t="str">
        <f t="shared" si="13"/>
        <v>Normal</v>
      </c>
      <c r="E814">
        <v>2</v>
      </c>
      <c r="F814" t="s">
        <v>11</v>
      </c>
      <c r="G814" t="s">
        <v>12</v>
      </c>
      <c r="H814">
        <v>11013.7119</v>
      </c>
    </row>
    <row r="815" spans="1:8" x14ac:dyDescent="0.3">
      <c r="A815">
        <v>28</v>
      </c>
      <c r="B815" t="s">
        <v>10</v>
      </c>
      <c r="C815">
        <v>22.515000000000001</v>
      </c>
      <c r="D815" t="str">
        <f t="shared" si="13"/>
        <v>Normal</v>
      </c>
      <c r="E815">
        <v>2</v>
      </c>
      <c r="F815" t="s">
        <v>11</v>
      </c>
      <c r="G815" t="s">
        <v>14</v>
      </c>
      <c r="H815">
        <v>4428.8878500000001</v>
      </c>
    </row>
    <row r="816" spans="1:8" x14ac:dyDescent="0.3">
      <c r="A816">
        <v>36</v>
      </c>
      <c r="B816" t="s">
        <v>10</v>
      </c>
      <c r="C816">
        <v>34.43</v>
      </c>
      <c r="D816" t="str">
        <f t="shared" si="13"/>
        <v>Obese</v>
      </c>
      <c r="E816">
        <v>2</v>
      </c>
      <c r="F816" t="s">
        <v>11</v>
      </c>
      <c r="G816" t="s">
        <v>12</v>
      </c>
      <c r="H816">
        <v>5584.3056999999999</v>
      </c>
    </row>
    <row r="817" spans="1:8" x14ac:dyDescent="0.3">
      <c r="A817">
        <v>20</v>
      </c>
      <c r="B817" t="s">
        <v>7</v>
      </c>
      <c r="C817">
        <v>31.46</v>
      </c>
      <c r="D817" t="str">
        <f t="shared" si="13"/>
        <v>Obese</v>
      </c>
      <c r="E817">
        <v>0</v>
      </c>
      <c r="F817" t="s">
        <v>11</v>
      </c>
      <c r="G817" t="s">
        <v>12</v>
      </c>
      <c r="H817">
        <v>1877.9294</v>
      </c>
    </row>
    <row r="818" spans="1:8" x14ac:dyDescent="0.3">
      <c r="A818">
        <v>24</v>
      </c>
      <c r="B818" t="s">
        <v>7</v>
      </c>
      <c r="C818">
        <v>24.225000000000001</v>
      </c>
      <c r="D818" t="str">
        <f t="shared" si="13"/>
        <v>Normal</v>
      </c>
      <c r="E818">
        <v>0</v>
      </c>
      <c r="F818" t="s">
        <v>11</v>
      </c>
      <c r="G818" t="s">
        <v>13</v>
      </c>
      <c r="H818">
        <v>2842.7607499999999</v>
      </c>
    </row>
    <row r="819" spans="1:8" x14ac:dyDescent="0.3">
      <c r="A819">
        <v>23</v>
      </c>
      <c r="B819" t="s">
        <v>10</v>
      </c>
      <c r="C819">
        <v>37.1</v>
      </c>
      <c r="D819" t="str">
        <f t="shared" si="13"/>
        <v>Obese</v>
      </c>
      <c r="E819">
        <v>3</v>
      </c>
      <c r="F819" t="s">
        <v>11</v>
      </c>
      <c r="G819" t="s">
        <v>9</v>
      </c>
      <c r="H819">
        <v>3597.596</v>
      </c>
    </row>
    <row r="820" spans="1:8" x14ac:dyDescent="0.3">
      <c r="A820">
        <v>47</v>
      </c>
      <c r="B820" t="s">
        <v>7</v>
      </c>
      <c r="C820">
        <v>26.125</v>
      </c>
      <c r="D820" t="str">
        <f t="shared" si="13"/>
        <v>Overweight</v>
      </c>
      <c r="E820">
        <v>1</v>
      </c>
      <c r="F820" t="s">
        <v>8</v>
      </c>
      <c r="G820" t="s">
        <v>14</v>
      </c>
      <c r="H820">
        <v>23401.30575</v>
      </c>
    </row>
    <row r="821" spans="1:8" x14ac:dyDescent="0.3">
      <c r="A821">
        <v>33</v>
      </c>
      <c r="B821" t="s">
        <v>7</v>
      </c>
      <c r="C821">
        <v>35.53</v>
      </c>
      <c r="D821" t="str">
        <f t="shared" si="13"/>
        <v>Obese</v>
      </c>
      <c r="E821">
        <v>0</v>
      </c>
      <c r="F821" t="s">
        <v>8</v>
      </c>
      <c r="G821" t="s">
        <v>13</v>
      </c>
      <c r="H821">
        <v>55135.402090000003</v>
      </c>
    </row>
    <row r="822" spans="1:8" x14ac:dyDescent="0.3">
      <c r="A822">
        <v>45</v>
      </c>
      <c r="B822" t="s">
        <v>10</v>
      </c>
      <c r="C822">
        <v>33.700000000000003</v>
      </c>
      <c r="D822" t="str">
        <f t="shared" si="13"/>
        <v>Obese</v>
      </c>
      <c r="E822">
        <v>1</v>
      </c>
      <c r="F822" t="s">
        <v>11</v>
      </c>
      <c r="G822" t="s">
        <v>9</v>
      </c>
      <c r="H822">
        <v>7445.9179999999997</v>
      </c>
    </row>
    <row r="823" spans="1:8" x14ac:dyDescent="0.3">
      <c r="A823">
        <v>26</v>
      </c>
      <c r="B823" t="s">
        <v>10</v>
      </c>
      <c r="C823">
        <v>17.670000000000002</v>
      </c>
      <c r="D823" t="str">
        <f t="shared" si="13"/>
        <v>Underweight</v>
      </c>
      <c r="E823">
        <v>0</v>
      </c>
      <c r="F823" t="s">
        <v>11</v>
      </c>
      <c r="G823" t="s">
        <v>13</v>
      </c>
      <c r="H823">
        <v>2680.9493000000002</v>
      </c>
    </row>
    <row r="824" spans="1:8" x14ac:dyDescent="0.3">
      <c r="A824">
        <v>18</v>
      </c>
      <c r="B824" t="s">
        <v>7</v>
      </c>
      <c r="C824">
        <v>31.13</v>
      </c>
      <c r="D824" t="str">
        <f t="shared" si="13"/>
        <v>Obese</v>
      </c>
      <c r="E824">
        <v>0</v>
      </c>
      <c r="F824" t="s">
        <v>11</v>
      </c>
      <c r="G824" t="s">
        <v>12</v>
      </c>
      <c r="H824">
        <v>1621.8827000000001</v>
      </c>
    </row>
    <row r="825" spans="1:8" x14ac:dyDescent="0.3">
      <c r="A825">
        <v>44</v>
      </c>
      <c r="B825" t="s">
        <v>7</v>
      </c>
      <c r="C825">
        <v>29.81</v>
      </c>
      <c r="D825" t="str">
        <f t="shared" si="13"/>
        <v>Overweight</v>
      </c>
      <c r="E825">
        <v>2</v>
      </c>
      <c r="F825" t="s">
        <v>11</v>
      </c>
      <c r="G825" t="s">
        <v>12</v>
      </c>
      <c r="H825">
        <v>8219.2039000000004</v>
      </c>
    </row>
    <row r="826" spans="1:8" x14ac:dyDescent="0.3">
      <c r="A826">
        <v>60</v>
      </c>
      <c r="B826" t="s">
        <v>10</v>
      </c>
      <c r="C826">
        <v>24.32</v>
      </c>
      <c r="D826" t="str">
        <f t="shared" si="13"/>
        <v>Normal</v>
      </c>
      <c r="E826">
        <v>0</v>
      </c>
      <c r="F826" t="s">
        <v>11</v>
      </c>
      <c r="G826" t="s">
        <v>13</v>
      </c>
      <c r="H826">
        <v>12523.604799999999</v>
      </c>
    </row>
    <row r="827" spans="1:8" x14ac:dyDescent="0.3">
      <c r="A827">
        <v>64</v>
      </c>
      <c r="B827" t="s">
        <v>7</v>
      </c>
      <c r="C827">
        <v>31.824999999999999</v>
      </c>
      <c r="D827" t="str">
        <f t="shared" si="13"/>
        <v>Obese</v>
      </c>
      <c r="E827">
        <v>2</v>
      </c>
      <c r="F827" t="s">
        <v>11</v>
      </c>
      <c r="G827" t="s">
        <v>14</v>
      </c>
      <c r="H827">
        <v>16069.08475</v>
      </c>
    </row>
    <row r="828" spans="1:8" x14ac:dyDescent="0.3">
      <c r="A828">
        <v>56</v>
      </c>
      <c r="B828" t="s">
        <v>10</v>
      </c>
      <c r="C828">
        <v>31.79</v>
      </c>
      <c r="D828" t="str">
        <f t="shared" si="13"/>
        <v>Obese</v>
      </c>
      <c r="E828">
        <v>2</v>
      </c>
      <c r="F828" t="s">
        <v>8</v>
      </c>
      <c r="G828" t="s">
        <v>12</v>
      </c>
      <c r="H828">
        <v>43813.866099999999</v>
      </c>
    </row>
    <row r="829" spans="1:8" x14ac:dyDescent="0.3">
      <c r="A829">
        <v>36</v>
      </c>
      <c r="B829" t="s">
        <v>10</v>
      </c>
      <c r="C829">
        <v>28.024999999999999</v>
      </c>
      <c r="D829" t="str">
        <f t="shared" si="13"/>
        <v>Overweight</v>
      </c>
      <c r="E829">
        <v>1</v>
      </c>
      <c r="F829" t="s">
        <v>8</v>
      </c>
      <c r="G829" t="s">
        <v>14</v>
      </c>
      <c r="H829">
        <v>20773.62775</v>
      </c>
    </row>
    <row r="830" spans="1:8" x14ac:dyDescent="0.3">
      <c r="A830">
        <v>41</v>
      </c>
      <c r="B830" t="s">
        <v>10</v>
      </c>
      <c r="C830">
        <v>30.78</v>
      </c>
      <c r="D830" t="str">
        <f t="shared" si="13"/>
        <v>Obese</v>
      </c>
      <c r="E830">
        <v>3</v>
      </c>
      <c r="F830" t="s">
        <v>8</v>
      </c>
      <c r="G830" t="s">
        <v>14</v>
      </c>
      <c r="H830">
        <v>39597.407200000001</v>
      </c>
    </row>
    <row r="831" spans="1:8" x14ac:dyDescent="0.3">
      <c r="A831">
        <v>39</v>
      </c>
      <c r="B831" t="s">
        <v>10</v>
      </c>
      <c r="C831">
        <v>21.85</v>
      </c>
      <c r="D831" t="str">
        <f t="shared" si="13"/>
        <v>Normal</v>
      </c>
      <c r="E831">
        <v>1</v>
      </c>
      <c r="F831" t="s">
        <v>11</v>
      </c>
      <c r="G831" t="s">
        <v>13</v>
      </c>
      <c r="H831">
        <v>6117.4944999999998</v>
      </c>
    </row>
    <row r="832" spans="1:8" x14ac:dyDescent="0.3">
      <c r="A832">
        <v>63</v>
      </c>
      <c r="B832" t="s">
        <v>10</v>
      </c>
      <c r="C832">
        <v>33.1</v>
      </c>
      <c r="D832" t="str">
        <f t="shared" si="13"/>
        <v>Obese</v>
      </c>
      <c r="E832">
        <v>0</v>
      </c>
      <c r="F832" t="s">
        <v>11</v>
      </c>
      <c r="G832" t="s">
        <v>9</v>
      </c>
      <c r="H832">
        <v>13393.755999999999</v>
      </c>
    </row>
    <row r="833" spans="1:8" x14ac:dyDescent="0.3">
      <c r="A833">
        <v>36</v>
      </c>
      <c r="B833" t="s">
        <v>7</v>
      </c>
      <c r="C833">
        <v>25.84</v>
      </c>
      <c r="D833" t="str">
        <f t="shared" si="13"/>
        <v>Overweight</v>
      </c>
      <c r="E833">
        <v>0</v>
      </c>
      <c r="F833" t="s">
        <v>11</v>
      </c>
      <c r="G833" t="s">
        <v>13</v>
      </c>
      <c r="H833">
        <v>5266.3656000000001</v>
      </c>
    </row>
    <row r="834" spans="1:8" x14ac:dyDescent="0.3">
      <c r="A834">
        <v>28</v>
      </c>
      <c r="B834" t="s">
        <v>7</v>
      </c>
      <c r="C834">
        <v>23.844999999999999</v>
      </c>
      <c r="D834" t="str">
        <f t="shared" si="13"/>
        <v>Normal</v>
      </c>
      <c r="E834">
        <v>2</v>
      </c>
      <c r="F834" t="s">
        <v>11</v>
      </c>
      <c r="G834" t="s">
        <v>13</v>
      </c>
      <c r="H834">
        <v>4719.7365499999996</v>
      </c>
    </row>
    <row r="835" spans="1:8" x14ac:dyDescent="0.3">
      <c r="A835">
        <v>58</v>
      </c>
      <c r="B835" t="s">
        <v>10</v>
      </c>
      <c r="C835">
        <v>34.39</v>
      </c>
      <c r="D835" t="str">
        <f t="shared" si="13"/>
        <v>Obese</v>
      </c>
      <c r="E835">
        <v>0</v>
      </c>
      <c r="F835" t="s">
        <v>11</v>
      </c>
      <c r="G835" t="s">
        <v>13</v>
      </c>
      <c r="H835">
        <v>11743.9341</v>
      </c>
    </row>
    <row r="836" spans="1:8" x14ac:dyDescent="0.3">
      <c r="A836">
        <v>36</v>
      </c>
      <c r="B836" t="s">
        <v>10</v>
      </c>
      <c r="C836">
        <v>33.82</v>
      </c>
      <c r="D836" t="str">
        <f t="shared" si="13"/>
        <v>Obese</v>
      </c>
      <c r="E836">
        <v>1</v>
      </c>
      <c r="F836" t="s">
        <v>11</v>
      </c>
      <c r="G836" t="s">
        <v>13</v>
      </c>
      <c r="H836">
        <v>5377.4578000000001</v>
      </c>
    </row>
    <row r="837" spans="1:8" x14ac:dyDescent="0.3">
      <c r="A837">
        <v>42</v>
      </c>
      <c r="B837" t="s">
        <v>10</v>
      </c>
      <c r="C837">
        <v>35.97</v>
      </c>
      <c r="D837" t="str">
        <f t="shared" si="13"/>
        <v>Obese</v>
      </c>
      <c r="E837">
        <v>2</v>
      </c>
      <c r="F837" t="s">
        <v>11</v>
      </c>
      <c r="G837" t="s">
        <v>12</v>
      </c>
      <c r="H837">
        <v>7160.3302999999996</v>
      </c>
    </row>
    <row r="838" spans="1:8" x14ac:dyDescent="0.3">
      <c r="A838">
        <v>36</v>
      </c>
      <c r="B838" t="s">
        <v>10</v>
      </c>
      <c r="C838">
        <v>31.5</v>
      </c>
      <c r="D838" t="str">
        <f t="shared" si="13"/>
        <v>Obese</v>
      </c>
      <c r="E838">
        <v>0</v>
      </c>
      <c r="F838" t="s">
        <v>11</v>
      </c>
      <c r="G838" t="s">
        <v>9</v>
      </c>
      <c r="H838">
        <v>4402.2330000000002</v>
      </c>
    </row>
    <row r="839" spans="1:8" x14ac:dyDescent="0.3">
      <c r="A839">
        <v>56</v>
      </c>
      <c r="B839" t="s">
        <v>7</v>
      </c>
      <c r="C839">
        <v>28.31</v>
      </c>
      <c r="D839" t="str">
        <f t="shared" si="13"/>
        <v>Overweight</v>
      </c>
      <c r="E839">
        <v>0</v>
      </c>
      <c r="F839" t="s">
        <v>11</v>
      </c>
      <c r="G839" t="s">
        <v>14</v>
      </c>
      <c r="H839">
        <v>11657.7189</v>
      </c>
    </row>
    <row r="840" spans="1:8" x14ac:dyDescent="0.3">
      <c r="A840">
        <v>35</v>
      </c>
      <c r="B840" t="s">
        <v>7</v>
      </c>
      <c r="C840">
        <v>23.465</v>
      </c>
      <c r="D840" t="str">
        <f t="shared" si="13"/>
        <v>Normal</v>
      </c>
      <c r="E840">
        <v>2</v>
      </c>
      <c r="F840" t="s">
        <v>11</v>
      </c>
      <c r="G840" t="s">
        <v>14</v>
      </c>
      <c r="H840">
        <v>6402.2913500000004</v>
      </c>
    </row>
    <row r="841" spans="1:8" x14ac:dyDescent="0.3">
      <c r="A841">
        <v>59</v>
      </c>
      <c r="B841" t="s">
        <v>7</v>
      </c>
      <c r="C841">
        <v>31.35</v>
      </c>
      <c r="D841" t="str">
        <f t="shared" si="13"/>
        <v>Obese</v>
      </c>
      <c r="E841">
        <v>0</v>
      </c>
      <c r="F841" t="s">
        <v>11</v>
      </c>
      <c r="G841" t="s">
        <v>13</v>
      </c>
      <c r="H841">
        <v>12622.1795</v>
      </c>
    </row>
    <row r="842" spans="1:8" x14ac:dyDescent="0.3">
      <c r="A842">
        <v>21</v>
      </c>
      <c r="B842" t="s">
        <v>10</v>
      </c>
      <c r="C842">
        <v>31.1</v>
      </c>
      <c r="D842" t="str">
        <f t="shared" si="13"/>
        <v>Obese</v>
      </c>
      <c r="E842">
        <v>0</v>
      </c>
      <c r="F842" t="s">
        <v>11</v>
      </c>
      <c r="G842" t="s">
        <v>9</v>
      </c>
      <c r="H842">
        <v>1526.3119999999999</v>
      </c>
    </row>
    <row r="843" spans="1:8" x14ac:dyDescent="0.3">
      <c r="A843">
        <v>59</v>
      </c>
      <c r="B843" t="s">
        <v>10</v>
      </c>
      <c r="C843">
        <v>24.7</v>
      </c>
      <c r="D843" t="str">
        <f t="shared" si="13"/>
        <v>Normal</v>
      </c>
      <c r="E843">
        <v>0</v>
      </c>
      <c r="F843" t="s">
        <v>11</v>
      </c>
      <c r="G843" t="s">
        <v>14</v>
      </c>
      <c r="H843">
        <v>12323.936</v>
      </c>
    </row>
    <row r="844" spans="1:8" x14ac:dyDescent="0.3">
      <c r="A844">
        <v>23</v>
      </c>
      <c r="B844" t="s">
        <v>7</v>
      </c>
      <c r="C844">
        <v>32.78</v>
      </c>
      <c r="D844" t="str">
        <f t="shared" si="13"/>
        <v>Obese</v>
      </c>
      <c r="E844">
        <v>2</v>
      </c>
      <c r="F844" t="s">
        <v>8</v>
      </c>
      <c r="G844" t="s">
        <v>12</v>
      </c>
      <c r="H844">
        <v>36021.011200000001</v>
      </c>
    </row>
    <row r="845" spans="1:8" x14ac:dyDescent="0.3">
      <c r="A845">
        <v>57</v>
      </c>
      <c r="B845" t="s">
        <v>7</v>
      </c>
      <c r="C845">
        <v>29.81</v>
      </c>
      <c r="D845" t="str">
        <f t="shared" si="13"/>
        <v>Overweight</v>
      </c>
      <c r="E845">
        <v>0</v>
      </c>
      <c r="F845" t="s">
        <v>8</v>
      </c>
      <c r="G845" t="s">
        <v>12</v>
      </c>
      <c r="H845">
        <v>27533.912899999999</v>
      </c>
    </row>
    <row r="846" spans="1:8" x14ac:dyDescent="0.3">
      <c r="A846">
        <v>53</v>
      </c>
      <c r="B846" t="s">
        <v>10</v>
      </c>
      <c r="C846">
        <v>30.495000000000001</v>
      </c>
      <c r="D846" t="str">
        <f t="shared" si="13"/>
        <v>Obese</v>
      </c>
      <c r="E846">
        <v>0</v>
      </c>
      <c r="F846" t="s">
        <v>11</v>
      </c>
      <c r="G846" t="s">
        <v>14</v>
      </c>
      <c r="H846">
        <v>10072.055050000001</v>
      </c>
    </row>
    <row r="847" spans="1:8" x14ac:dyDescent="0.3">
      <c r="A847">
        <v>60</v>
      </c>
      <c r="B847" t="s">
        <v>7</v>
      </c>
      <c r="C847">
        <v>32.450000000000003</v>
      </c>
      <c r="D847" t="str">
        <f t="shared" si="13"/>
        <v>Obese</v>
      </c>
      <c r="E847">
        <v>0</v>
      </c>
      <c r="F847" t="s">
        <v>8</v>
      </c>
      <c r="G847" t="s">
        <v>12</v>
      </c>
      <c r="H847">
        <v>45008.955499999996</v>
      </c>
    </row>
    <row r="848" spans="1:8" x14ac:dyDescent="0.3">
      <c r="A848">
        <v>51</v>
      </c>
      <c r="B848" t="s">
        <v>7</v>
      </c>
      <c r="C848">
        <v>34.200000000000003</v>
      </c>
      <c r="D848" t="str">
        <f t="shared" si="13"/>
        <v>Obese</v>
      </c>
      <c r="E848">
        <v>1</v>
      </c>
      <c r="F848" t="s">
        <v>11</v>
      </c>
      <c r="G848" t="s">
        <v>9</v>
      </c>
      <c r="H848">
        <v>9872.7009999999991</v>
      </c>
    </row>
    <row r="849" spans="1:8" x14ac:dyDescent="0.3">
      <c r="A849">
        <v>23</v>
      </c>
      <c r="B849" t="s">
        <v>10</v>
      </c>
      <c r="C849">
        <v>50.38</v>
      </c>
      <c r="D849" t="str">
        <f t="shared" si="13"/>
        <v>Obese</v>
      </c>
      <c r="E849">
        <v>1</v>
      </c>
      <c r="F849" t="s">
        <v>11</v>
      </c>
      <c r="G849" t="s">
        <v>12</v>
      </c>
      <c r="H849">
        <v>2438.0551999999998</v>
      </c>
    </row>
    <row r="850" spans="1:8" x14ac:dyDescent="0.3">
      <c r="A850">
        <v>27</v>
      </c>
      <c r="B850" t="s">
        <v>7</v>
      </c>
      <c r="C850">
        <v>24.1</v>
      </c>
      <c r="D850" t="str">
        <f t="shared" si="13"/>
        <v>Normal</v>
      </c>
      <c r="E850">
        <v>0</v>
      </c>
      <c r="F850" t="s">
        <v>11</v>
      </c>
      <c r="G850" t="s">
        <v>9</v>
      </c>
      <c r="H850">
        <v>2974.1260000000002</v>
      </c>
    </row>
    <row r="851" spans="1:8" x14ac:dyDescent="0.3">
      <c r="A851">
        <v>55</v>
      </c>
      <c r="B851" t="s">
        <v>10</v>
      </c>
      <c r="C851">
        <v>32.774999999999999</v>
      </c>
      <c r="D851" t="str">
        <f t="shared" si="13"/>
        <v>Obese</v>
      </c>
      <c r="E851">
        <v>0</v>
      </c>
      <c r="F851" t="s">
        <v>11</v>
      </c>
      <c r="G851" t="s">
        <v>13</v>
      </c>
      <c r="H851">
        <v>10601.632250000001</v>
      </c>
    </row>
    <row r="852" spans="1:8" x14ac:dyDescent="0.3">
      <c r="A852">
        <v>37</v>
      </c>
      <c r="B852" t="s">
        <v>7</v>
      </c>
      <c r="C852">
        <v>30.78</v>
      </c>
      <c r="D852" t="str">
        <f t="shared" si="13"/>
        <v>Obese</v>
      </c>
      <c r="E852">
        <v>0</v>
      </c>
      <c r="F852" t="s">
        <v>8</v>
      </c>
      <c r="G852" t="s">
        <v>14</v>
      </c>
      <c r="H852">
        <v>37270.1512</v>
      </c>
    </row>
    <row r="853" spans="1:8" x14ac:dyDescent="0.3">
      <c r="A853">
        <v>61</v>
      </c>
      <c r="B853" t="s">
        <v>10</v>
      </c>
      <c r="C853">
        <v>32.299999999999997</v>
      </c>
      <c r="D853" t="str">
        <f t="shared" ref="D853:D916" si="14">IF(C853&lt;18.5,"Underweight",IF(C853&lt;24.9,"Normal",IF(C853&lt;30,"Overweight","Obese")))</f>
        <v>Obese</v>
      </c>
      <c r="E853">
        <v>2</v>
      </c>
      <c r="F853" t="s">
        <v>11</v>
      </c>
      <c r="G853" t="s">
        <v>13</v>
      </c>
      <c r="H853">
        <v>14119.62</v>
      </c>
    </row>
    <row r="854" spans="1:8" x14ac:dyDescent="0.3">
      <c r="A854">
        <v>46</v>
      </c>
      <c r="B854" t="s">
        <v>7</v>
      </c>
      <c r="C854">
        <v>35.53</v>
      </c>
      <c r="D854" t="str">
        <f t="shared" si="14"/>
        <v>Obese</v>
      </c>
      <c r="E854">
        <v>0</v>
      </c>
      <c r="F854" t="s">
        <v>8</v>
      </c>
      <c r="G854" t="s">
        <v>14</v>
      </c>
      <c r="H854">
        <v>42111.664700000001</v>
      </c>
    </row>
    <row r="855" spans="1:8" x14ac:dyDescent="0.3">
      <c r="A855">
        <v>53</v>
      </c>
      <c r="B855" t="s">
        <v>7</v>
      </c>
      <c r="C855">
        <v>23.75</v>
      </c>
      <c r="D855" t="str">
        <f t="shared" si="14"/>
        <v>Normal</v>
      </c>
      <c r="E855">
        <v>2</v>
      </c>
      <c r="F855" t="s">
        <v>11</v>
      </c>
      <c r="G855" t="s">
        <v>14</v>
      </c>
      <c r="H855">
        <v>11729.6795</v>
      </c>
    </row>
    <row r="856" spans="1:8" x14ac:dyDescent="0.3">
      <c r="A856">
        <v>49</v>
      </c>
      <c r="B856" t="s">
        <v>7</v>
      </c>
      <c r="C856">
        <v>23.844999999999999</v>
      </c>
      <c r="D856" t="str">
        <f t="shared" si="14"/>
        <v>Normal</v>
      </c>
      <c r="E856">
        <v>3</v>
      </c>
      <c r="F856" t="s">
        <v>8</v>
      </c>
      <c r="G856" t="s">
        <v>14</v>
      </c>
      <c r="H856">
        <v>24106.912550000001</v>
      </c>
    </row>
    <row r="857" spans="1:8" x14ac:dyDescent="0.3">
      <c r="A857">
        <v>20</v>
      </c>
      <c r="B857" t="s">
        <v>7</v>
      </c>
      <c r="C857">
        <v>29.6</v>
      </c>
      <c r="D857" t="str">
        <f t="shared" si="14"/>
        <v>Overweight</v>
      </c>
      <c r="E857">
        <v>0</v>
      </c>
      <c r="F857" t="s">
        <v>11</v>
      </c>
      <c r="G857" t="s">
        <v>9</v>
      </c>
      <c r="H857">
        <v>1875.3440000000001</v>
      </c>
    </row>
    <row r="858" spans="1:8" x14ac:dyDescent="0.3">
      <c r="A858">
        <v>48</v>
      </c>
      <c r="B858" t="s">
        <v>7</v>
      </c>
      <c r="C858">
        <v>33.11</v>
      </c>
      <c r="D858" t="str">
        <f t="shared" si="14"/>
        <v>Obese</v>
      </c>
      <c r="E858">
        <v>0</v>
      </c>
      <c r="F858" t="s">
        <v>8</v>
      </c>
      <c r="G858" t="s">
        <v>12</v>
      </c>
      <c r="H858">
        <v>40974.164900000003</v>
      </c>
    </row>
    <row r="859" spans="1:8" x14ac:dyDescent="0.3">
      <c r="A859">
        <v>25</v>
      </c>
      <c r="B859" t="s">
        <v>10</v>
      </c>
      <c r="C859">
        <v>24.13</v>
      </c>
      <c r="D859" t="str">
        <f t="shared" si="14"/>
        <v>Normal</v>
      </c>
      <c r="E859">
        <v>0</v>
      </c>
      <c r="F859" t="s">
        <v>8</v>
      </c>
      <c r="G859" t="s">
        <v>13</v>
      </c>
      <c r="H859">
        <v>15817.985699999999</v>
      </c>
    </row>
    <row r="860" spans="1:8" x14ac:dyDescent="0.3">
      <c r="A860">
        <v>25</v>
      </c>
      <c r="B860" t="s">
        <v>7</v>
      </c>
      <c r="C860">
        <v>32.229999999999997</v>
      </c>
      <c r="D860" t="str">
        <f t="shared" si="14"/>
        <v>Obese</v>
      </c>
      <c r="E860">
        <v>1</v>
      </c>
      <c r="F860" t="s">
        <v>11</v>
      </c>
      <c r="G860" t="s">
        <v>12</v>
      </c>
      <c r="H860">
        <v>18218.161390000001</v>
      </c>
    </row>
    <row r="861" spans="1:8" x14ac:dyDescent="0.3">
      <c r="A861">
        <v>57</v>
      </c>
      <c r="B861" t="s">
        <v>10</v>
      </c>
      <c r="C861">
        <v>28.1</v>
      </c>
      <c r="D861" t="str">
        <f t="shared" si="14"/>
        <v>Overweight</v>
      </c>
      <c r="E861">
        <v>0</v>
      </c>
      <c r="F861" t="s">
        <v>11</v>
      </c>
      <c r="G861" t="s">
        <v>9</v>
      </c>
      <c r="H861">
        <v>10965.446</v>
      </c>
    </row>
    <row r="862" spans="1:8" x14ac:dyDescent="0.3">
      <c r="A862">
        <v>37</v>
      </c>
      <c r="B862" t="s">
        <v>7</v>
      </c>
      <c r="C862">
        <v>47.6</v>
      </c>
      <c r="D862" t="str">
        <f t="shared" si="14"/>
        <v>Obese</v>
      </c>
      <c r="E862">
        <v>2</v>
      </c>
      <c r="F862" t="s">
        <v>8</v>
      </c>
      <c r="G862" t="s">
        <v>9</v>
      </c>
      <c r="H862">
        <v>46113.510999999999</v>
      </c>
    </row>
    <row r="863" spans="1:8" x14ac:dyDescent="0.3">
      <c r="A863">
        <v>38</v>
      </c>
      <c r="B863" t="s">
        <v>7</v>
      </c>
      <c r="C863">
        <v>28</v>
      </c>
      <c r="D863" t="str">
        <f t="shared" si="14"/>
        <v>Overweight</v>
      </c>
      <c r="E863">
        <v>3</v>
      </c>
      <c r="F863" t="s">
        <v>11</v>
      </c>
      <c r="G863" t="s">
        <v>9</v>
      </c>
      <c r="H863">
        <v>7151.0919999999996</v>
      </c>
    </row>
    <row r="864" spans="1:8" x14ac:dyDescent="0.3">
      <c r="A864">
        <v>55</v>
      </c>
      <c r="B864" t="s">
        <v>7</v>
      </c>
      <c r="C864">
        <v>33.534999999999997</v>
      </c>
      <c r="D864" t="str">
        <f t="shared" si="14"/>
        <v>Obese</v>
      </c>
      <c r="E864">
        <v>2</v>
      </c>
      <c r="F864" t="s">
        <v>11</v>
      </c>
      <c r="G864" t="s">
        <v>13</v>
      </c>
      <c r="H864">
        <v>12269.68865</v>
      </c>
    </row>
    <row r="865" spans="1:8" x14ac:dyDescent="0.3">
      <c r="A865">
        <v>36</v>
      </c>
      <c r="B865" t="s">
        <v>7</v>
      </c>
      <c r="C865">
        <v>19.855</v>
      </c>
      <c r="D865" t="str">
        <f t="shared" si="14"/>
        <v>Normal</v>
      </c>
      <c r="E865">
        <v>0</v>
      </c>
      <c r="F865" t="s">
        <v>11</v>
      </c>
      <c r="G865" t="s">
        <v>14</v>
      </c>
      <c r="H865">
        <v>5458.0464499999998</v>
      </c>
    </row>
    <row r="866" spans="1:8" x14ac:dyDescent="0.3">
      <c r="A866">
        <v>51</v>
      </c>
      <c r="B866" t="s">
        <v>10</v>
      </c>
      <c r="C866">
        <v>25.4</v>
      </c>
      <c r="D866" t="str">
        <f t="shared" si="14"/>
        <v>Overweight</v>
      </c>
      <c r="E866">
        <v>0</v>
      </c>
      <c r="F866" t="s">
        <v>11</v>
      </c>
      <c r="G866" t="s">
        <v>9</v>
      </c>
      <c r="H866">
        <v>8782.4689999999991</v>
      </c>
    </row>
    <row r="867" spans="1:8" x14ac:dyDescent="0.3">
      <c r="A867">
        <v>40</v>
      </c>
      <c r="B867" t="s">
        <v>10</v>
      </c>
      <c r="C867">
        <v>29.9</v>
      </c>
      <c r="D867" t="str">
        <f t="shared" si="14"/>
        <v>Overweight</v>
      </c>
      <c r="E867">
        <v>2</v>
      </c>
      <c r="F867" t="s">
        <v>11</v>
      </c>
      <c r="G867" t="s">
        <v>9</v>
      </c>
      <c r="H867">
        <v>6600.3609999999999</v>
      </c>
    </row>
    <row r="868" spans="1:8" x14ac:dyDescent="0.3">
      <c r="A868">
        <v>18</v>
      </c>
      <c r="B868" t="s">
        <v>10</v>
      </c>
      <c r="C868">
        <v>37.29</v>
      </c>
      <c r="D868" t="str">
        <f t="shared" si="14"/>
        <v>Obese</v>
      </c>
      <c r="E868">
        <v>0</v>
      </c>
      <c r="F868" t="s">
        <v>11</v>
      </c>
      <c r="G868" t="s">
        <v>12</v>
      </c>
      <c r="H868">
        <v>1141.4450999999999</v>
      </c>
    </row>
    <row r="869" spans="1:8" x14ac:dyDescent="0.3">
      <c r="A869">
        <v>57</v>
      </c>
      <c r="B869" t="s">
        <v>10</v>
      </c>
      <c r="C869">
        <v>43.7</v>
      </c>
      <c r="D869" t="str">
        <f t="shared" si="14"/>
        <v>Obese</v>
      </c>
      <c r="E869">
        <v>1</v>
      </c>
      <c r="F869" t="s">
        <v>11</v>
      </c>
      <c r="G869" t="s">
        <v>9</v>
      </c>
      <c r="H869">
        <v>11576.13</v>
      </c>
    </row>
    <row r="870" spans="1:8" x14ac:dyDescent="0.3">
      <c r="A870">
        <v>61</v>
      </c>
      <c r="B870" t="s">
        <v>10</v>
      </c>
      <c r="C870">
        <v>23.655000000000001</v>
      </c>
      <c r="D870" t="str">
        <f t="shared" si="14"/>
        <v>Normal</v>
      </c>
      <c r="E870">
        <v>0</v>
      </c>
      <c r="F870" t="s">
        <v>11</v>
      </c>
      <c r="G870" t="s">
        <v>14</v>
      </c>
      <c r="H870">
        <v>13129.603450000001</v>
      </c>
    </row>
    <row r="871" spans="1:8" x14ac:dyDescent="0.3">
      <c r="A871">
        <v>25</v>
      </c>
      <c r="B871" t="s">
        <v>7</v>
      </c>
      <c r="C871">
        <v>24.3</v>
      </c>
      <c r="D871" t="str">
        <f t="shared" si="14"/>
        <v>Normal</v>
      </c>
      <c r="E871">
        <v>3</v>
      </c>
      <c r="F871" t="s">
        <v>11</v>
      </c>
      <c r="G871" t="s">
        <v>9</v>
      </c>
      <c r="H871">
        <v>4391.652</v>
      </c>
    </row>
    <row r="872" spans="1:8" x14ac:dyDescent="0.3">
      <c r="A872">
        <v>50</v>
      </c>
      <c r="B872" t="s">
        <v>10</v>
      </c>
      <c r="C872">
        <v>36.200000000000003</v>
      </c>
      <c r="D872" t="str">
        <f t="shared" si="14"/>
        <v>Obese</v>
      </c>
      <c r="E872">
        <v>0</v>
      </c>
      <c r="F872" t="s">
        <v>11</v>
      </c>
      <c r="G872" t="s">
        <v>9</v>
      </c>
      <c r="H872">
        <v>8457.8179999999993</v>
      </c>
    </row>
    <row r="873" spans="1:8" x14ac:dyDescent="0.3">
      <c r="A873">
        <v>26</v>
      </c>
      <c r="B873" t="s">
        <v>7</v>
      </c>
      <c r="C873">
        <v>29.48</v>
      </c>
      <c r="D873" t="str">
        <f t="shared" si="14"/>
        <v>Overweight</v>
      </c>
      <c r="E873">
        <v>1</v>
      </c>
      <c r="F873" t="s">
        <v>11</v>
      </c>
      <c r="G873" t="s">
        <v>12</v>
      </c>
      <c r="H873">
        <v>3392.3652000000002</v>
      </c>
    </row>
    <row r="874" spans="1:8" x14ac:dyDescent="0.3">
      <c r="A874">
        <v>42</v>
      </c>
      <c r="B874" t="s">
        <v>10</v>
      </c>
      <c r="C874">
        <v>24.86</v>
      </c>
      <c r="D874" t="str">
        <f t="shared" si="14"/>
        <v>Normal</v>
      </c>
      <c r="E874">
        <v>0</v>
      </c>
      <c r="F874" t="s">
        <v>11</v>
      </c>
      <c r="G874" t="s">
        <v>12</v>
      </c>
      <c r="H874">
        <v>5966.8873999999996</v>
      </c>
    </row>
    <row r="875" spans="1:8" x14ac:dyDescent="0.3">
      <c r="A875">
        <v>43</v>
      </c>
      <c r="B875" t="s">
        <v>10</v>
      </c>
      <c r="C875">
        <v>30.1</v>
      </c>
      <c r="D875" t="str">
        <f t="shared" si="14"/>
        <v>Obese</v>
      </c>
      <c r="E875">
        <v>1</v>
      </c>
      <c r="F875" t="s">
        <v>11</v>
      </c>
      <c r="G875" t="s">
        <v>9</v>
      </c>
      <c r="H875">
        <v>6849.0259999999998</v>
      </c>
    </row>
    <row r="876" spans="1:8" x14ac:dyDescent="0.3">
      <c r="A876">
        <v>44</v>
      </c>
      <c r="B876" t="s">
        <v>10</v>
      </c>
      <c r="C876">
        <v>21.85</v>
      </c>
      <c r="D876" t="str">
        <f t="shared" si="14"/>
        <v>Normal</v>
      </c>
      <c r="E876">
        <v>3</v>
      </c>
      <c r="F876" t="s">
        <v>11</v>
      </c>
      <c r="G876" t="s">
        <v>14</v>
      </c>
      <c r="H876">
        <v>8891.1394999999993</v>
      </c>
    </row>
    <row r="877" spans="1:8" x14ac:dyDescent="0.3">
      <c r="A877">
        <v>23</v>
      </c>
      <c r="B877" t="s">
        <v>7</v>
      </c>
      <c r="C877">
        <v>28.12</v>
      </c>
      <c r="D877" t="str">
        <f t="shared" si="14"/>
        <v>Overweight</v>
      </c>
      <c r="E877">
        <v>0</v>
      </c>
      <c r="F877" t="s">
        <v>11</v>
      </c>
      <c r="G877" t="s">
        <v>13</v>
      </c>
      <c r="H877">
        <v>2690.1138000000001</v>
      </c>
    </row>
    <row r="878" spans="1:8" x14ac:dyDescent="0.3">
      <c r="A878">
        <v>49</v>
      </c>
      <c r="B878" t="s">
        <v>7</v>
      </c>
      <c r="C878">
        <v>27.1</v>
      </c>
      <c r="D878" t="str">
        <f t="shared" si="14"/>
        <v>Overweight</v>
      </c>
      <c r="E878">
        <v>1</v>
      </c>
      <c r="F878" t="s">
        <v>11</v>
      </c>
      <c r="G878" t="s">
        <v>9</v>
      </c>
      <c r="H878">
        <v>26140.3603</v>
      </c>
    </row>
    <row r="879" spans="1:8" x14ac:dyDescent="0.3">
      <c r="A879">
        <v>33</v>
      </c>
      <c r="B879" t="s">
        <v>10</v>
      </c>
      <c r="C879">
        <v>33.44</v>
      </c>
      <c r="D879" t="str">
        <f t="shared" si="14"/>
        <v>Obese</v>
      </c>
      <c r="E879">
        <v>5</v>
      </c>
      <c r="F879" t="s">
        <v>11</v>
      </c>
      <c r="G879" t="s">
        <v>12</v>
      </c>
      <c r="H879">
        <v>6653.7885999999999</v>
      </c>
    </row>
    <row r="880" spans="1:8" x14ac:dyDescent="0.3">
      <c r="A880">
        <v>41</v>
      </c>
      <c r="B880" t="s">
        <v>10</v>
      </c>
      <c r="C880">
        <v>28.8</v>
      </c>
      <c r="D880" t="str">
        <f t="shared" si="14"/>
        <v>Overweight</v>
      </c>
      <c r="E880">
        <v>1</v>
      </c>
      <c r="F880" t="s">
        <v>11</v>
      </c>
      <c r="G880" t="s">
        <v>9</v>
      </c>
      <c r="H880">
        <v>6282.2349999999997</v>
      </c>
    </row>
    <row r="881" spans="1:8" x14ac:dyDescent="0.3">
      <c r="A881">
        <v>37</v>
      </c>
      <c r="B881" t="s">
        <v>7</v>
      </c>
      <c r="C881">
        <v>29.5</v>
      </c>
      <c r="D881" t="str">
        <f t="shared" si="14"/>
        <v>Overweight</v>
      </c>
      <c r="E881">
        <v>2</v>
      </c>
      <c r="F881" t="s">
        <v>11</v>
      </c>
      <c r="G881" t="s">
        <v>9</v>
      </c>
      <c r="H881">
        <v>6311.9520000000002</v>
      </c>
    </row>
    <row r="882" spans="1:8" x14ac:dyDescent="0.3">
      <c r="A882">
        <v>22</v>
      </c>
      <c r="B882" t="s">
        <v>10</v>
      </c>
      <c r="C882">
        <v>34.799999999999997</v>
      </c>
      <c r="D882" t="str">
        <f t="shared" si="14"/>
        <v>Obese</v>
      </c>
      <c r="E882">
        <v>3</v>
      </c>
      <c r="F882" t="s">
        <v>11</v>
      </c>
      <c r="G882" t="s">
        <v>9</v>
      </c>
      <c r="H882">
        <v>3443.0639999999999</v>
      </c>
    </row>
    <row r="883" spans="1:8" x14ac:dyDescent="0.3">
      <c r="A883">
        <v>23</v>
      </c>
      <c r="B883" t="s">
        <v>10</v>
      </c>
      <c r="C883">
        <v>27.36</v>
      </c>
      <c r="D883" t="str">
        <f t="shared" si="14"/>
        <v>Overweight</v>
      </c>
      <c r="E883">
        <v>1</v>
      </c>
      <c r="F883" t="s">
        <v>11</v>
      </c>
      <c r="G883" t="s">
        <v>13</v>
      </c>
      <c r="H883">
        <v>2789.0574000000001</v>
      </c>
    </row>
    <row r="884" spans="1:8" x14ac:dyDescent="0.3">
      <c r="A884">
        <v>21</v>
      </c>
      <c r="B884" t="s">
        <v>7</v>
      </c>
      <c r="C884">
        <v>22.135000000000002</v>
      </c>
      <c r="D884" t="str">
        <f t="shared" si="14"/>
        <v>Normal</v>
      </c>
      <c r="E884">
        <v>0</v>
      </c>
      <c r="F884" t="s">
        <v>11</v>
      </c>
      <c r="G884" t="s">
        <v>14</v>
      </c>
      <c r="H884">
        <v>2585.8506499999999</v>
      </c>
    </row>
    <row r="885" spans="1:8" x14ac:dyDescent="0.3">
      <c r="A885">
        <v>51</v>
      </c>
      <c r="B885" t="s">
        <v>7</v>
      </c>
      <c r="C885">
        <v>37.049999999999997</v>
      </c>
      <c r="D885" t="str">
        <f t="shared" si="14"/>
        <v>Obese</v>
      </c>
      <c r="E885">
        <v>3</v>
      </c>
      <c r="F885" t="s">
        <v>8</v>
      </c>
      <c r="G885" t="s">
        <v>14</v>
      </c>
      <c r="H885">
        <v>46255.112500000003</v>
      </c>
    </row>
    <row r="886" spans="1:8" x14ac:dyDescent="0.3">
      <c r="A886">
        <v>25</v>
      </c>
      <c r="B886" t="s">
        <v>10</v>
      </c>
      <c r="C886">
        <v>26.695</v>
      </c>
      <c r="D886" t="str">
        <f t="shared" si="14"/>
        <v>Overweight</v>
      </c>
      <c r="E886">
        <v>4</v>
      </c>
      <c r="F886" t="s">
        <v>11</v>
      </c>
      <c r="G886" t="s">
        <v>13</v>
      </c>
      <c r="H886">
        <v>4877.9810500000003</v>
      </c>
    </row>
    <row r="887" spans="1:8" x14ac:dyDescent="0.3">
      <c r="A887">
        <v>32</v>
      </c>
      <c r="B887" t="s">
        <v>10</v>
      </c>
      <c r="C887">
        <v>28.93</v>
      </c>
      <c r="D887" t="str">
        <f t="shared" si="14"/>
        <v>Overweight</v>
      </c>
      <c r="E887">
        <v>1</v>
      </c>
      <c r="F887" t="s">
        <v>8</v>
      </c>
      <c r="G887" t="s">
        <v>12</v>
      </c>
      <c r="H887">
        <v>19719.6947</v>
      </c>
    </row>
    <row r="888" spans="1:8" x14ac:dyDescent="0.3">
      <c r="A888">
        <v>57</v>
      </c>
      <c r="B888" t="s">
        <v>10</v>
      </c>
      <c r="C888">
        <v>28.975000000000001</v>
      </c>
      <c r="D888" t="str">
        <f t="shared" si="14"/>
        <v>Overweight</v>
      </c>
      <c r="E888">
        <v>0</v>
      </c>
      <c r="F888" t="s">
        <v>8</v>
      </c>
      <c r="G888" t="s">
        <v>14</v>
      </c>
      <c r="H888">
        <v>27218.437249999999</v>
      </c>
    </row>
    <row r="889" spans="1:8" x14ac:dyDescent="0.3">
      <c r="A889">
        <v>36</v>
      </c>
      <c r="B889" t="s">
        <v>7</v>
      </c>
      <c r="C889">
        <v>30.02</v>
      </c>
      <c r="D889" t="str">
        <f t="shared" si="14"/>
        <v>Obese</v>
      </c>
      <c r="E889">
        <v>0</v>
      </c>
      <c r="F889" t="s">
        <v>11</v>
      </c>
      <c r="G889" t="s">
        <v>13</v>
      </c>
      <c r="H889">
        <v>5272.1758</v>
      </c>
    </row>
    <row r="890" spans="1:8" x14ac:dyDescent="0.3">
      <c r="A890">
        <v>22</v>
      </c>
      <c r="B890" t="s">
        <v>10</v>
      </c>
      <c r="C890">
        <v>39.5</v>
      </c>
      <c r="D890" t="str">
        <f t="shared" si="14"/>
        <v>Obese</v>
      </c>
      <c r="E890">
        <v>0</v>
      </c>
      <c r="F890" t="s">
        <v>11</v>
      </c>
      <c r="G890" t="s">
        <v>9</v>
      </c>
      <c r="H890">
        <v>1682.597</v>
      </c>
    </row>
    <row r="891" spans="1:8" x14ac:dyDescent="0.3">
      <c r="A891">
        <v>57</v>
      </c>
      <c r="B891" t="s">
        <v>10</v>
      </c>
      <c r="C891">
        <v>33.630000000000003</v>
      </c>
      <c r="D891" t="str">
        <f t="shared" si="14"/>
        <v>Obese</v>
      </c>
      <c r="E891">
        <v>1</v>
      </c>
      <c r="F891" t="s">
        <v>11</v>
      </c>
      <c r="G891" t="s">
        <v>13</v>
      </c>
      <c r="H891">
        <v>11945.1327</v>
      </c>
    </row>
    <row r="892" spans="1:8" x14ac:dyDescent="0.3">
      <c r="A892">
        <v>64</v>
      </c>
      <c r="B892" t="s">
        <v>7</v>
      </c>
      <c r="C892">
        <v>26.885000000000002</v>
      </c>
      <c r="D892" t="str">
        <f t="shared" si="14"/>
        <v>Overweight</v>
      </c>
      <c r="E892">
        <v>0</v>
      </c>
      <c r="F892" t="s">
        <v>8</v>
      </c>
      <c r="G892" t="s">
        <v>13</v>
      </c>
      <c r="H892">
        <v>29330.98315</v>
      </c>
    </row>
    <row r="893" spans="1:8" x14ac:dyDescent="0.3">
      <c r="A893">
        <v>36</v>
      </c>
      <c r="B893" t="s">
        <v>7</v>
      </c>
      <c r="C893">
        <v>29.04</v>
      </c>
      <c r="D893" t="str">
        <f t="shared" si="14"/>
        <v>Overweight</v>
      </c>
      <c r="E893">
        <v>4</v>
      </c>
      <c r="F893" t="s">
        <v>11</v>
      </c>
      <c r="G893" t="s">
        <v>12</v>
      </c>
      <c r="H893">
        <v>7243.8136000000004</v>
      </c>
    </row>
    <row r="894" spans="1:8" x14ac:dyDescent="0.3">
      <c r="A894">
        <v>54</v>
      </c>
      <c r="B894" t="s">
        <v>10</v>
      </c>
      <c r="C894">
        <v>24.035</v>
      </c>
      <c r="D894" t="str">
        <f t="shared" si="14"/>
        <v>Normal</v>
      </c>
      <c r="E894">
        <v>0</v>
      </c>
      <c r="F894" t="s">
        <v>11</v>
      </c>
      <c r="G894" t="s">
        <v>14</v>
      </c>
      <c r="H894">
        <v>10422.916649999999</v>
      </c>
    </row>
    <row r="895" spans="1:8" x14ac:dyDescent="0.3">
      <c r="A895">
        <v>47</v>
      </c>
      <c r="B895" t="s">
        <v>10</v>
      </c>
      <c r="C895">
        <v>38.94</v>
      </c>
      <c r="D895" t="str">
        <f t="shared" si="14"/>
        <v>Obese</v>
      </c>
      <c r="E895">
        <v>2</v>
      </c>
      <c r="F895" t="s">
        <v>8</v>
      </c>
      <c r="G895" t="s">
        <v>12</v>
      </c>
      <c r="H895">
        <v>44202.653599999998</v>
      </c>
    </row>
    <row r="896" spans="1:8" x14ac:dyDescent="0.3">
      <c r="A896">
        <v>62</v>
      </c>
      <c r="B896" t="s">
        <v>10</v>
      </c>
      <c r="C896">
        <v>32.11</v>
      </c>
      <c r="D896" t="str">
        <f t="shared" si="14"/>
        <v>Obese</v>
      </c>
      <c r="E896">
        <v>0</v>
      </c>
      <c r="F896" t="s">
        <v>11</v>
      </c>
      <c r="G896" t="s">
        <v>14</v>
      </c>
      <c r="H896">
        <v>13555.0049</v>
      </c>
    </row>
    <row r="897" spans="1:8" x14ac:dyDescent="0.3">
      <c r="A897">
        <v>61</v>
      </c>
      <c r="B897" t="s">
        <v>7</v>
      </c>
      <c r="C897">
        <v>44</v>
      </c>
      <c r="D897" t="str">
        <f t="shared" si="14"/>
        <v>Obese</v>
      </c>
      <c r="E897">
        <v>0</v>
      </c>
      <c r="F897" t="s">
        <v>11</v>
      </c>
      <c r="G897" t="s">
        <v>9</v>
      </c>
      <c r="H897">
        <v>13063.883</v>
      </c>
    </row>
    <row r="898" spans="1:8" x14ac:dyDescent="0.3">
      <c r="A898">
        <v>43</v>
      </c>
      <c r="B898" t="s">
        <v>7</v>
      </c>
      <c r="C898">
        <v>20.045000000000002</v>
      </c>
      <c r="D898" t="str">
        <f t="shared" si="14"/>
        <v>Normal</v>
      </c>
      <c r="E898">
        <v>2</v>
      </c>
      <c r="F898" t="s">
        <v>8</v>
      </c>
      <c r="G898" t="s">
        <v>14</v>
      </c>
      <c r="H898">
        <v>19798.054550000001</v>
      </c>
    </row>
    <row r="899" spans="1:8" x14ac:dyDescent="0.3">
      <c r="A899">
        <v>19</v>
      </c>
      <c r="B899" t="s">
        <v>10</v>
      </c>
      <c r="C899">
        <v>25.555</v>
      </c>
      <c r="D899" t="str">
        <f t="shared" si="14"/>
        <v>Overweight</v>
      </c>
      <c r="E899">
        <v>1</v>
      </c>
      <c r="F899" t="s">
        <v>11</v>
      </c>
      <c r="G899" t="s">
        <v>13</v>
      </c>
      <c r="H899">
        <v>2221.5644499999999</v>
      </c>
    </row>
    <row r="900" spans="1:8" x14ac:dyDescent="0.3">
      <c r="A900">
        <v>18</v>
      </c>
      <c r="B900" t="s">
        <v>7</v>
      </c>
      <c r="C900">
        <v>40.26</v>
      </c>
      <c r="D900" t="str">
        <f t="shared" si="14"/>
        <v>Obese</v>
      </c>
      <c r="E900">
        <v>0</v>
      </c>
      <c r="F900" t="s">
        <v>11</v>
      </c>
      <c r="G900" t="s">
        <v>12</v>
      </c>
      <c r="H900">
        <v>1634.5734</v>
      </c>
    </row>
    <row r="901" spans="1:8" x14ac:dyDescent="0.3">
      <c r="A901">
        <v>19</v>
      </c>
      <c r="B901" t="s">
        <v>7</v>
      </c>
      <c r="C901">
        <v>22.515000000000001</v>
      </c>
      <c r="D901" t="str">
        <f t="shared" si="14"/>
        <v>Normal</v>
      </c>
      <c r="E901">
        <v>0</v>
      </c>
      <c r="F901" t="s">
        <v>11</v>
      </c>
      <c r="G901" t="s">
        <v>13</v>
      </c>
      <c r="H901">
        <v>2117.3388500000001</v>
      </c>
    </row>
    <row r="902" spans="1:8" x14ac:dyDescent="0.3">
      <c r="A902">
        <v>49</v>
      </c>
      <c r="B902" t="s">
        <v>10</v>
      </c>
      <c r="C902">
        <v>22.515000000000001</v>
      </c>
      <c r="D902" t="str">
        <f t="shared" si="14"/>
        <v>Normal</v>
      </c>
      <c r="E902">
        <v>0</v>
      </c>
      <c r="F902" t="s">
        <v>11</v>
      </c>
      <c r="G902" t="s">
        <v>14</v>
      </c>
      <c r="H902">
        <v>8688.8588500000005</v>
      </c>
    </row>
    <row r="903" spans="1:8" x14ac:dyDescent="0.3">
      <c r="A903">
        <v>60</v>
      </c>
      <c r="B903" t="s">
        <v>10</v>
      </c>
      <c r="C903">
        <v>40.92</v>
      </c>
      <c r="D903" t="str">
        <f t="shared" si="14"/>
        <v>Obese</v>
      </c>
      <c r="E903">
        <v>0</v>
      </c>
      <c r="F903" t="s">
        <v>8</v>
      </c>
      <c r="G903" t="s">
        <v>12</v>
      </c>
      <c r="H903">
        <v>48673.558799999999</v>
      </c>
    </row>
    <row r="904" spans="1:8" x14ac:dyDescent="0.3">
      <c r="A904">
        <v>26</v>
      </c>
      <c r="B904" t="s">
        <v>10</v>
      </c>
      <c r="C904">
        <v>27.265000000000001</v>
      </c>
      <c r="D904" t="str">
        <f t="shared" si="14"/>
        <v>Overweight</v>
      </c>
      <c r="E904">
        <v>3</v>
      </c>
      <c r="F904" t="s">
        <v>11</v>
      </c>
      <c r="G904" t="s">
        <v>14</v>
      </c>
      <c r="H904">
        <v>4661.2863500000003</v>
      </c>
    </row>
    <row r="905" spans="1:8" x14ac:dyDescent="0.3">
      <c r="A905">
        <v>49</v>
      </c>
      <c r="B905" t="s">
        <v>10</v>
      </c>
      <c r="C905">
        <v>36.85</v>
      </c>
      <c r="D905" t="str">
        <f t="shared" si="14"/>
        <v>Obese</v>
      </c>
      <c r="E905">
        <v>0</v>
      </c>
      <c r="F905" t="s">
        <v>11</v>
      </c>
      <c r="G905" t="s">
        <v>12</v>
      </c>
      <c r="H905">
        <v>8125.7844999999998</v>
      </c>
    </row>
    <row r="906" spans="1:8" x14ac:dyDescent="0.3">
      <c r="A906">
        <v>60</v>
      </c>
      <c r="B906" t="s">
        <v>7</v>
      </c>
      <c r="C906">
        <v>35.1</v>
      </c>
      <c r="D906" t="str">
        <f t="shared" si="14"/>
        <v>Obese</v>
      </c>
      <c r="E906">
        <v>0</v>
      </c>
      <c r="F906" t="s">
        <v>11</v>
      </c>
      <c r="G906" t="s">
        <v>9</v>
      </c>
      <c r="H906">
        <v>12644.589</v>
      </c>
    </row>
    <row r="907" spans="1:8" x14ac:dyDescent="0.3">
      <c r="A907">
        <v>26</v>
      </c>
      <c r="B907" t="s">
        <v>7</v>
      </c>
      <c r="C907">
        <v>29.355</v>
      </c>
      <c r="D907" t="str">
        <f t="shared" si="14"/>
        <v>Overweight</v>
      </c>
      <c r="E907">
        <v>2</v>
      </c>
      <c r="F907" t="s">
        <v>11</v>
      </c>
      <c r="G907" t="s">
        <v>14</v>
      </c>
      <c r="H907">
        <v>4564.1914500000003</v>
      </c>
    </row>
    <row r="908" spans="1:8" x14ac:dyDescent="0.3">
      <c r="A908">
        <v>27</v>
      </c>
      <c r="B908" t="s">
        <v>10</v>
      </c>
      <c r="C908">
        <v>32.585000000000001</v>
      </c>
      <c r="D908" t="str">
        <f t="shared" si="14"/>
        <v>Obese</v>
      </c>
      <c r="E908">
        <v>3</v>
      </c>
      <c r="F908" t="s">
        <v>11</v>
      </c>
      <c r="G908" t="s">
        <v>14</v>
      </c>
      <c r="H908">
        <v>4846.9201499999999</v>
      </c>
    </row>
    <row r="909" spans="1:8" x14ac:dyDescent="0.3">
      <c r="A909">
        <v>44</v>
      </c>
      <c r="B909" t="s">
        <v>7</v>
      </c>
      <c r="C909">
        <v>32.340000000000003</v>
      </c>
      <c r="D909" t="str">
        <f t="shared" si="14"/>
        <v>Obese</v>
      </c>
      <c r="E909">
        <v>1</v>
      </c>
      <c r="F909" t="s">
        <v>11</v>
      </c>
      <c r="G909" t="s">
        <v>12</v>
      </c>
      <c r="H909">
        <v>7633.7205999999996</v>
      </c>
    </row>
    <row r="910" spans="1:8" x14ac:dyDescent="0.3">
      <c r="A910">
        <v>63</v>
      </c>
      <c r="B910" t="s">
        <v>10</v>
      </c>
      <c r="C910">
        <v>39.799999999999997</v>
      </c>
      <c r="D910" t="str">
        <f t="shared" si="14"/>
        <v>Obese</v>
      </c>
      <c r="E910">
        <v>3</v>
      </c>
      <c r="F910" t="s">
        <v>11</v>
      </c>
      <c r="G910" t="s">
        <v>9</v>
      </c>
      <c r="H910">
        <v>15170.069</v>
      </c>
    </row>
    <row r="911" spans="1:8" x14ac:dyDescent="0.3">
      <c r="A911">
        <v>32</v>
      </c>
      <c r="B911" t="s">
        <v>7</v>
      </c>
      <c r="C911">
        <v>24.6</v>
      </c>
      <c r="D911" t="str">
        <f t="shared" si="14"/>
        <v>Normal</v>
      </c>
      <c r="E911">
        <v>0</v>
      </c>
      <c r="F911" t="s">
        <v>8</v>
      </c>
      <c r="G911" t="s">
        <v>9</v>
      </c>
      <c r="H911">
        <v>17496.306</v>
      </c>
    </row>
    <row r="912" spans="1:8" x14ac:dyDescent="0.3">
      <c r="A912">
        <v>22</v>
      </c>
      <c r="B912" t="s">
        <v>10</v>
      </c>
      <c r="C912">
        <v>28.31</v>
      </c>
      <c r="D912" t="str">
        <f t="shared" si="14"/>
        <v>Overweight</v>
      </c>
      <c r="E912">
        <v>1</v>
      </c>
      <c r="F912" t="s">
        <v>11</v>
      </c>
      <c r="G912" t="s">
        <v>13</v>
      </c>
      <c r="H912">
        <v>2639.0428999999999</v>
      </c>
    </row>
    <row r="913" spans="1:8" x14ac:dyDescent="0.3">
      <c r="A913">
        <v>18</v>
      </c>
      <c r="B913" t="s">
        <v>10</v>
      </c>
      <c r="C913">
        <v>31.73</v>
      </c>
      <c r="D913" t="str">
        <f t="shared" si="14"/>
        <v>Obese</v>
      </c>
      <c r="E913">
        <v>0</v>
      </c>
      <c r="F913" t="s">
        <v>8</v>
      </c>
      <c r="G913" t="s">
        <v>14</v>
      </c>
      <c r="H913">
        <v>33732.686699999998</v>
      </c>
    </row>
    <row r="914" spans="1:8" x14ac:dyDescent="0.3">
      <c r="A914">
        <v>59</v>
      </c>
      <c r="B914" t="s">
        <v>7</v>
      </c>
      <c r="C914">
        <v>26.695</v>
      </c>
      <c r="D914" t="str">
        <f t="shared" si="14"/>
        <v>Overweight</v>
      </c>
      <c r="E914">
        <v>3</v>
      </c>
      <c r="F914" t="s">
        <v>11</v>
      </c>
      <c r="G914" t="s">
        <v>13</v>
      </c>
      <c r="H914">
        <v>14382.709049999999</v>
      </c>
    </row>
    <row r="915" spans="1:8" x14ac:dyDescent="0.3">
      <c r="A915">
        <v>44</v>
      </c>
      <c r="B915" t="s">
        <v>7</v>
      </c>
      <c r="C915">
        <v>27.5</v>
      </c>
      <c r="D915" t="str">
        <f t="shared" si="14"/>
        <v>Overweight</v>
      </c>
      <c r="E915">
        <v>1</v>
      </c>
      <c r="F915" t="s">
        <v>11</v>
      </c>
      <c r="G915" t="s">
        <v>9</v>
      </c>
      <c r="H915">
        <v>7626.9930000000004</v>
      </c>
    </row>
    <row r="916" spans="1:8" x14ac:dyDescent="0.3">
      <c r="A916">
        <v>33</v>
      </c>
      <c r="B916" t="s">
        <v>10</v>
      </c>
      <c r="C916">
        <v>24.605</v>
      </c>
      <c r="D916" t="str">
        <f t="shared" si="14"/>
        <v>Normal</v>
      </c>
      <c r="E916">
        <v>2</v>
      </c>
      <c r="F916" t="s">
        <v>11</v>
      </c>
      <c r="G916" t="s">
        <v>13</v>
      </c>
      <c r="H916">
        <v>5257.5079500000002</v>
      </c>
    </row>
    <row r="917" spans="1:8" x14ac:dyDescent="0.3">
      <c r="A917">
        <v>24</v>
      </c>
      <c r="B917" t="s">
        <v>7</v>
      </c>
      <c r="C917">
        <v>33.99</v>
      </c>
      <c r="D917" t="str">
        <f t="shared" ref="D917:D980" si="15">IF(C917&lt;18.5,"Underweight",IF(C917&lt;24.9,"Normal",IF(C917&lt;30,"Overweight","Obese")))</f>
        <v>Obese</v>
      </c>
      <c r="E917">
        <v>0</v>
      </c>
      <c r="F917" t="s">
        <v>11</v>
      </c>
      <c r="G917" t="s">
        <v>12</v>
      </c>
      <c r="H917">
        <v>2473.3341</v>
      </c>
    </row>
    <row r="918" spans="1:8" x14ac:dyDescent="0.3">
      <c r="A918">
        <v>43</v>
      </c>
      <c r="B918" t="s">
        <v>7</v>
      </c>
      <c r="C918">
        <v>26.885000000000002</v>
      </c>
      <c r="D918" t="str">
        <f t="shared" si="15"/>
        <v>Overweight</v>
      </c>
      <c r="E918">
        <v>0</v>
      </c>
      <c r="F918" t="s">
        <v>8</v>
      </c>
      <c r="G918" t="s">
        <v>13</v>
      </c>
      <c r="H918">
        <v>21774.32215</v>
      </c>
    </row>
    <row r="919" spans="1:8" x14ac:dyDescent="0.3">
      <c r="A919">
        <v>45</v>
      </c>
      <c r="B919" t="s">
        <v>10</v>
      </c>
      <c r="C919">
        <v>22.895</v>
      </c>
      <c r="D919" t="str">
        <f t="shared" si="15"/>
        <v>Normal</v>
      </c>
      <c r="E919">
        <v>0</v>
      </c>
      <c r="F919" t="s">
        <v>8</v>
      </c>
      <c r="G919" t="s">
        <v>14</v>
      </c>
      <c r="H919">
        <v>35069.374519999998</v>
      </c>
    </row>
    <row r="920" spans="1:8" x14ac:dyDescent="0.3">
      <c r="A920">
        <v>61</v>
      </c>
      <c r="B920" t="s">
        <v>7</v>
      </c>
      <c r="C920">
        <v>28.2</v>
      </c>
      <c r="D920" t="str">
        <f t="shared" si="15"/>
        <v>Overweight</v>
      </c>
      <c r="E920">
        <v>0</v>
      </c>
      <c r="F920" t="s">
        <v>11</v>
      </c>
      <c r="G920" t="s">
        <v>9</v>
      </c>
      <c r="H920">
        <v>13041.921</v>
      </c>
    </row>
    <row r="921" spans="1:8" x14ac:dyDescent="0.3">
      <c r="A921">
        <v>35</v>
      </c>
      <c r="B921" t="s">
        <v>7</v>
      </c>
      <c r="C921">
        <v>34.21</v>
      </c>
      <c r="D921" t="str">
        <f t="shared" si="15"/>
        <v>Obese</v>
      </c>
      <c r="E921">
        <v>1</v>
      </c>
      <c r="F921" t="s">
        <v>11</v>
      </c>
      <c r="G921" t="s">
        <v>12</v>
      </c>
      <c r="H921">
        <v>5245.2268999999997</v>
      </c>
    </row>
    <row r="922" spans="1:8" x14ac:dyDescent="0.3">
      <c r="A922">
        <v>62</v>
      </c>
      <c r="B922" t="s">
        <v>7</v>
      </c>
      <c r="C922">
        <v>25</v>
      </c>
      <c r="D922" t="str">
        <f t="shared" si="15"/>
        <v>Overweight</v>
      </c>
      <c r="E922">
        <v>0</v>
      </c>
      <c r="F922" t="s">
        <v>11</v>
      </c>
      <c r="G922" t="s">
        <v>9</v>
      </c>
      <c r="H922">
        <v>13451.121999999999</v>
      </c>
    </row>
    <row r="923" spans="1:8" x14ac:dyDescent="0.3">
      <c r="A923">
        <v>62</v>
      </c>
      <c r="B923" t="s">
        <v>7</v>
      </c>
      <c r="C923">
        <v>33.200000000000003</v>
      </c>
      <c r="D923" t="str">
        <f t="shared" si="15"/>
        <v>Obese</v>
      </c>
      <c r="E923">
        <v>0</v>
      </c>
      <c r="F923" t="s">
        <v>11</v>
      </c>
      <c r="G923" t="s">
        <v>9</v>
      </c>
      <c r="H923">
        <v>13462.52</v>
      </c>
    </row>
    <row r="924" spans="1:8" x14ac:dyDescent="0.3">
      <c r="A924">
        <v>38</v>
      </c>
      <c r="B924" t="s">
        <v>10</v>
      </c>
      <c r="C924">
        <v>31</v>
      </c>
      <c r="D924" t="str">
        <f t="shared" si="15"/>
        <v>Obese</v>
      </c>
      <c r="E924">
        <v>1</v>
      </c>
      <c r="F924" t="s">
        <v>11</v>
      </c>
      <c r="G924" t="s">
        <v>9</v>
      </c>
      <c r="H924">
        <v>5488.2619999999997</v>
      </c>
    </row>
    <row r="925" spans="1:8" x14ac:dyDescent="0.3">
      <c r="A925">
        <v>34</v>
      </c>
      <c r="B925" t="s">
        <v>10</v>
      </c>
      <c r="C925">
        <v>35.814999999999998</v>
      </c>
      <c r="D925" t="str">
        <f t="shared" si="15"/>
        <v>Obese</v>
      </c>
      <c r="E925">
        <v>0</v>
      </c>
      <c r="F925" t="s">
        <v>11</v>
      </c>
      <c r="G925" t="s">
        <v>13</v>
      </c>
      <c r="H925">
        <v>4320.4108500000002</v>
      </c>
    </row>
    <row r="926" spans="1:8" x14ac:dyDescent="0.3">
      <c r="A926">
        <v>43</v>
      </c>
      <c r="B926" t="s">
        <v>10</v>
      </c>
      <c r="C926">
        <v>23.2</v>
      </c>
      <c r="D926" t="str">
        <f t="shared" si="15"/>
        <v>Normal</v>
      </c>
      <c r="E926">
        <v>0</v>
      </c>
      <c r="F926" t="s">
        <v>11</v>
      </c>
      <c r="G926" t="s">
        <v>9</v>
      </c>
      <c r="H926">
        <v>6250.4350000000004</v>
      </c>
    </row>
    <row r="927" spans="1:8" x14ac:dyDescent="0.3">
      <c r="A927">
        <v>50</v>
      </c>
      <c r="B927" t="s">
        <v>10</v>
      </c>
      <c r="C927">
        <v>32.11</v>
      </c>
      <c r="D927" t="str">
        <f t="shared" si="15"/>
        <v>Obese</v>
      </c>
      <c r="E927">
        <v>2</v>
      </c>
      <c r="F927" t="s">
        <v>11</v>
      </c>
      <c r="G927" t="s">
        <v>14</v>
      </c>
      <c r="H927">
        <v>25333.332839999999</v>
      </c>
    </row>
    <row r="928" spans="1:8" x14ac:dyDescent="0.3">
      <c r="A928">
        <v>19</v>
      </c>
      <c r="B928" t="s">
        <v>7</v>
      </c>
      <c r="C928">
        <v>23.4</v>
      </c>
      <c r="D928" t="str">
        <f t="shared" si="15"/>
        <v>Normal</v>
      </c>
      <c r="E928">
        <v>2</v>
      </c>
      <c r="F928" t="s">
        <v>11</v>
      </c>
      <c r="G928" t="s">
        <v>9</v>
      </c>
      <c r="H928">
        <v>2913.569</v>
      </c>
    </row>
    <row r="929" spans="1:8" x14ac:dyDescent="0.3">
      <c r="A929">
        <v>57</v>
      </c>
      <c r="B929" t="s">
        <v>7</v>
      </c>
      <c r="C929">
        <v>20.100000000000001</v>
      </c>
      <c r="D929" t="str">
        <f t="shared" si="15"/>
        <v>Normal</v>
      </c>
      <c r="E929">
        <v>1</v>
      </c>
      <c r="F929" t="s">
        <v>11</v>
      </c>
      <c r="G929" t="s">
        <v>9</v>
      </c>
      <c r="H929">
        <v>12032.325999999999</v>
      </c>
    </row>
    <row r="930" spans="1:8" x14ac:dyDescent="0.3">
      <c r="A930">
        <v>62</v>
      </c>
      <c r="B930" t="s">
        <v>7</v>
      </c>
      <c r="C930">
        <v>39.159999999999997</v>
      </c>
      <c r="D930" t="str">
        <f t="shared" si="15"/>
        <v>Obese</v>
      </c>
      <c r="E930">
        <v>0</v>
      </c>
      <c r="F930" t="s">
        <v>11</v>
      </c>
      <c r="G930" t="s">
        <v>12</v>
      </c>
      <c r="H930">
        <v>13470.804400000001</v>
      </c>
    </row>
    <row r="931" spans="1:8" x14ac:dyDescent="0.3">
      <c r="A931">
        <v>41</v>
      </c>
      <c r="B931" t="s">
        <v>10</v>
      </c>
      <c r="C931">
        <v>34.21</v>
      </c>
      <c r="D931" t="str">
        <f t="shared" si="15"/>
        <v>Obese</v>
      </c>
      <c r="E931">
        <v>1</v>
      </c>
      <c r="F931" t="s">
        <v>11</v>
      </c>
      <c r="G931" t="s">
        <v>12</v>
      </c>
      <c r="H931">
        <v>6289.7548999999999</v>
      </c>
    </row>
    <row r="932" spans="1:8" x14ac:dyDescent="0.3">
      <c r="A932">
        <v>26</v>
      </c>
      <c r="B932" t="s">
        <v>10</v>
      </c>
      <c r="C932">
        <v>46.53</v>
      </c>
      <c r="D932" t="str">
        <f t="shared" si="15"/>
        <v>Obese</v>
      </c>
      <c r="E932">
        <v>1</v>
      </c>
      <c r="F932" t="s">
        <v>11</v>
      </c>
      <c r="G932" t="s">
        <v>12</v>
      </c>
      <c r="H932">
        <v>2927.0646999999999</v>
      </c>
    </row>
    <row r="933" spans="1:8" x14ac:dyDescent="0.3">
      <c r="A933">
        <v>39</v>
      </c>
      <c r="B933" t="s">
        <v>7</v>
      </c>
      <c r="C933">
        <v>32.5</v>
      </c>
      <c r="D933" t="str">
        <f t="shared" si="15"/>
        <v>Obese</v>
      </c>
      <c r="E933">
        <v>1</v>
      </c>
      <c r="F933" t="s">
        <v>11</v>
      </c>
      <c r="G933" t="s">
        <v>9</v>
      </c>
      <c r="H933">
        <v>6238.2979999999998</v>
      </c>
    </row>
    <row r="934" spans="1:8" x14ac:dyDescent="0.3">
      <c r="A934">
        <v>46</v>
      </c>
      <c r="B934" t="s">
        <v>10</v>
      </c>
      <c r="C934">
        <v>25.8</v>
      </c>
      <c r="D934" t="str">
        <f t="shared" si="15"/>
        <v>Overweight</v>
      </c>
      <c r="E934">
        <v>5</v>
      </c>
      <c r="F934" t="s">
        <v>11</v>
      </c>
      <c r="G934" t="s">
        <v>9</v>
      </c>
      <c r="H934">
        <v>10096.969999999999</v>
      </c>
    </row>
    <row r="935" spans="1:8" x14ac:dyDescent="0.3">
      <c r="A935">
        <v>45</v>
      </c>
      <c r="B935" t="s">
        <v>7</v>
      </c>
      <c r="C935">
        <v>35.299999999999997</v>
      </c>
      <c r="D935" t="str">
        <f t="shared" si="15"/>
        <v>Obese</v>
      </c>
      <c r="E935">
        <v>0</v>
      </c>
      <c r="F935" t="s">
        <v>11</v>
      </c>
      <c r="G935" t="s">
        <v>9</v>
      </c>
      <c r="H935">
        <v>7348.1419999999998</v>
      </c>
    </row>
    <row r="936" spans="1:8" x14ac:dyDescent="0.3">
      <c r="A936">
        <v>32</v>
      </c>
      <c r="B936" t="s">
        <v>10</v>
      </c>
      <c r="C936">
        <v>37.18</v>
      </c>
      <c r="D936" t="str">
        <f t="shared" si="15"/>
        <v>Obese</v>
      </c>
      <c r="E936">
        <v>2</v>
      </c>
      <c r="F936" t="s">
        <v>11</v>
      </c>
      <c r="G936" t="s">
        <v>12</v>
      </c>
      <c r="H936">
        <v>4673.3922000000002</v>
      </c>
    </row>
    <row r="937" spans="1:8" x14ac:dyDescent="0.3">
      <c r="A937">
        <v>59</v>
      </c>
      <c r="B937" t="s">
        <v>7</v>
      </c>
      <c r="C937">
        <v>27.5</v>
      </c>
      <c r="D937" t="str">
        <f t="shared" si="15"/>
        <v>Overweight</v>
      </c>
      <c r="E937">
        <v>0</v>
      </c>
      <c r="F937" t="s">
        <v>11</v>
      </c>
      <c r="G937" t="s">
        <v>9</v>
      </c>
      <c r="H937">
        <v>12233.828</v>
      </c>
    </row>
    <row r="938" spans="1:8" x14ac:dyDescent="0.3">
      <c r="A938">
        <v>44</v>
      </c>
      <c r="B938" t="s">
        <v>10</v>
      </c>
      <c r="C938">
        <v>29.734999999999999</v>
      </c>
      <c r="D938" t="str">
        <f t="shared" si="15"/>
        <v>Overweight</v>
      </c>
      <c r="E938">
        <v>2</v>
      </c>
      <c r="F938" t="s">
        <v>11</v>
      </c>
      <c r="G938" t="s">
        <v>14</v>
      </c>
      <c r="H938">
        <v>32108.662820000001</v>
      </c>
    </row>
    <row r="939" spans="1:8" x14ac:dyDescent="0.3">
      <c r="A939">
        <v>39</v>
      </c>
      <c r="B939" t="s">
        <v>7</v>
      </c>
      <c r="C939">
        <v>24.225000000000001</v>
      </c>
      <c r="D939" t="str">
        <f t="shared" si="15"/>
        <v>Normal</v>
      </c>
      <c r="E939">
        <v>5</v>
      </c>
      <c r="F939" t="s">
        <v>11</v>
      </c>
      <c r="G939" t="s">
        <v>13</v>
      </c>
      <c r="H939">
        <v>8965.7957499999993</v>
      </c>
    </row>
    <row r="940" spans="1:8" x14ac:dyDescent="0.3">
      <c r="A940">
        <v>18</v>
      </c>
      <c r="B940" t="s">
        <v>10</v>
      </c>
      <c r="C940">
        <v>26.18</v>
      </c>
      <c r="D940" t="str">
        <f t="shared" si="15"/>
        <v>Overweight</v>
      </c>
      <c r="E940">
        <v>2</v>
      </c>
      <c r="F940" t="s">
        <v>11</v>
      </c>
      <c r="G940" t="s">
        <v>12</v>
      </c>
      <c r="H940">
        <v>2304.0021999999999</v>
      </c>
    </row>
    <row r="941" spans="1:8" x14ac:dyDescent="0.3">
      <c r="A941">
        <v>53</v>
      </c>
      <c r="B941" t="s">
        <v>10</v>
      </c>
      <c r="C941">
        <v>29.48</v>
      </c>
      <c r="D941" t="str">
        <f t="shared" si="15"/>
        <v>Overweight</v>
      </c>
      <c r="E941">
        <v>0</v>
      </c>
      <c r="F941" t="s">
        <v>11</v>
      </c>
      <c r="G941" t="s">
        <v>12</v>
      </c>
      <c r="H941">
        <v>9487.6442000000006</v>
      </c>
    </row>
    <row r="942" spans="1:8" x14ac:dyDescent="0.3">
      <c r="A942">
        <v>18</v>
      </c>
      <c r="B942" t="s">
        <v>10</v>
      </c>
      <c r="C942">
        <v>23.21</v>
      </c>
      <c r="D942" t="str">
        <f t="shared" si="15"/>
        <v>Normal</v>
      </c>
      <c r="E942">
        <v>0</v>
      </c>
      <c r="F942" t="s">
        <v>11</v>
      </c>
      <c r="G942" t="s">
        <v>12</v>
      </c>
      <c r="H942">
        <v>1121.8739</v>
      </c>
    </row>
    <row r="943" spans="1:8" x14ac:dyDescent="0.3">
      <c r="A943">
        <v>50</v>
      </c>
      <c r="B943" t="s">
        <v>7</v>
      </c>
      <c r="C943">
        <v>46.09</v>
      </c>
      <c r="D943" t="str">
        <f t="shared" si="15"/>
        <v>Obese</v>
      </c>
      <c r="E943">
        <v>1</v>
      </c>
      <c r="F943" t="s">
        <v>11</v>
      </c>
      <c r="G943" t="s">
        <v>12</v>
      </c>
      <c r="H943">
        <v>9549.5650999999998</v>
      </c>
    </row>
    <row r="944" spans="1:8" x14ac:dyDescent="0.3">
      <c r="A944">
        <v>18</v>
      </c>
      <c r="B944" t="s">
        <v>7</v>
      </c>
      <c r="C944">
        <v>40.185000000000002</v>
      </c>
      <c r="D944" t="str">
        <f t="shared" si="15"/>
        <v>Obese</v>
      </c>
      <c r="E944">
        <v>0</v>
      </c>
      <c r="F944" t="s">
        <v>11</v>
      </c>
      <c r="G944" t="s">
        <v>14</v>
      </c>
      <c r="H944">
        <v>2217.4691499999999</v>
      </c>
    </row>
    <row r="945" spans="1:8" x14ac:dyDescent="0.3">
      <c r="A945">
        <v>19</v>
      </c>
      <c r="B945" t="s">
        <v>10</v>
      </c>
      <c r="C945">
        <v>22.61</v>
      </c>
      <c r="D945" t="str">
        <f t="shared" si="15"/>
        <v>Normal</v>
      </c>
      <c r="E945">
        <v>0</v>
      </c>
      <c r="F945" t="s">
        <v>11</v>
      </c>
      <c r="G945" t="s">
        <v>13</v>
      </c>
      <c r="H945">
        <v>1628.4709</v>
      </c>
    </row>
    <row r="946" spans="1:8" x14ac:dyDescent="0.3">
      <c r="A946">
        <v>62</v>
      </c>
      <c r="B946" t="s">
        <v>10</v>
      </c>
      <c r="C946">
        <v>39.93</v>
      </c>
      <c r="D946" t="str">
        <f t="shared" si="15"/>
        <v>Obese</v>
      </c>
      <c r="E946">
        <v>0</v>
      </c>
      <c r="F946" t="s">
        <v>11</v>
      </c>
      <c r="G946" t="s">
        <v>12</v>
      </c>
      <c r="H946">
        <v>12982.8747</v>
      </c>
    </row>
    <row r="947" spans="1:8" x14ac:dyDescent="0.3">
      <c r="A947">
        <v>56</v>
      </c>
      <c r="B947" t="s">
        <v>7</v>
      </c>
      <c r="C947">
        <v>35.799999999999997</v>
      </c>
      <c r="D947" t="str">
        <f t="shared" si="15"/>
        <v>Obese</v>
      </c>
      <c r="E947">
        <v>1</v>
      </c>
      <c r="F947" t="s">
        <v>11</v>
      </c>
      <c r="G947" t="s">
        <v>9</v>
      </c>
      <c r="H947">
        <v>11674.13</v>
      </c>
    </row>
    <row r="948" spans="1:8" x14ac:dyDescent="0.3">
      <c r="A948">
        <v>42</v>
      </c>
      <c r="B948" t="s">
        <v>10</v>
      </c>
      <c r="C948">
        <v>35.799999999999997</v>
      </c>
      <c r="D948" t="str">
        <f t="shared" si="15"/>
        <v>Obese</v>
      </c>
      <c r="E948">
        <v>2</v>
      </c>
      <c r="F948" t="s">
        <v>11</v>
      </c>
      <c r="G948" t="s">
        <v>9</v>
      </c>
      <c r="H948">
        <v>7160.0940000000001</v>
      </c>
    </row>
    <row r="949" spans="1:8" x14ac:dyDescent="0.3">
      <c r="A949">
        <v>37</v>
      </c>
      <c r="B949" t="s">
        <v>10</v>
      </c>
      <c r="C949">
        <v>34.200000000000003</v>
      </c>
      <c r="D949" t="str">
        <f t="shared" si="15"/>
        <v>Obese</v>
      </c>
      <c r="E949">
        <v>1</v>
      </c>
      <c r="F949" t="s">
        <v>8</v>
      </c>
      <c r="G949" t="s">
        <v>14</v>
      </c>
      <c r="H949">
        <v>39047.285000000003</v>
      </c>
    </row>
    <row r="950" spans="1:8" x14ac:dyDescent="0.3">
      <c r="A950">
        <v>42</v>
      </c>
      <c r="B950" t="s">
        <v>10</v>
      </c>
      <c r="C950">
        <v>31.254999999999999</v>
      </c>
      <c r="D950" t="str">
        <f t="shared" si="15"/>
        <v>Obese</v>
      </c>
      <c r="E950">
        <v>0</v>
      </c>
      <c r="F950" t="s">
        <v>11</v>
      </c>
      <c r="G950" t="s">
        <v>13</v>
      </c>
      <c r="H950">
        <v>6358.7764500000003</v>
      </c>
    </row>
    <row r="951" spans="1:8" x14ac:dyDescent="0.3">
      <c r="A951">
        <v>25</v>
      </c>
      <c r="B951" t="s">
        <v>10</v>
      </c>
      <c r="C951">
        <v>29.7</v>
      </c>
      <c r="D951" t="str">
        <f t="shared" si="15"/>
        <v>Overweight</v>
      </c>
      <c r="E951">
        <v>3</v>
      </c>
      <c r="F951" t="s">
        <v>8</v>
      </c>
      <c r="G951" t="s">
        <v>9</v>
      </c>
      <c r="H951">
        <v>19933.457999999999</v>
      </c>
    </row>
    <row r="952" spans="1:8" x14ac:dyDescent="0.3">
      <c r="A952">
        <v>57</v>
      </c>
      <c r="B952" t="s">
        <v>10</v>
      </c>
      <c r="C952">
        <v>18.335000000000001</v>
      </c>
      <c r="D952" t="str">
        <f t="shared" si="15"/>
        <v>Underweight</v>
      </c>
      <c r="E952">
        <v>0</v>
      </c>
      <c r="F952" t="s">
        <v>11</v>
      </c>
      <c r="G952" t="s">
        <v>14</v>
      </c>
      <c r="H952">
        <v>11534.872649999999</v>
      </c>
    </row>
    <row r="953" spans="1:8" x14ac:dyDescent="0.3">
      <c r="A953">
        <v>51</v>
      </c>
      <c r="B953" t="s">
        <v>10</v>
      </c>
      <c r="C953">
        <v>42.9</v>
      </c>
      <c r="D953" t="str">
        <f t="shared" si="15"/>
        <v>Obese</v>
      </c>
      <c r="E953">
        <v>2</v>
      </c>
      <c r="F953" t="s">
        <v>8</v>
      </c>
      <c r="G953" t="s">
        <v>12</v>
      </c>
      <c r="H953">
        <v>47462.894</v>
      </c>
    </row>
    <row r="954" spans="1:8" x14ac:dyDescent="0.3">
      <c r="A954">
        <v>30</v>
      </c>
      <c r="B954" t="s">
        <v>7</v>
      </c>
      <c r="C954">
        <v>28.405000000000001</v>
      </c>
      <c r="D954" t="str">
        <f t="shared" si="15"/>
        <v>Overweight</v>
      </c>
      <c r="E954">
        <v>1</v>
      </c>
      <c r="F954" t="s">
        <v>11</v>
      </c>
      <c r="G954" t="s">
        <v>13</v>
      </c>
      <c r="H954">
        <v>4527.1829500000003</v>
      </c>
    </row>
    <row r="955" spans="1:8" x14ac:dyDescent="0.3">
      <c r="A955">
        <v>44</v>
      </c>
      <c r="B955" t="s">
        <v>10</v>
      </c>
      <c r="C955">
        <v>30.2</v>
      </c>
      <c r="D955" t="str">
        <f t="shared" si="15"/>
        <v>Obese</v>
      </c>
      <c r="E955">
        <v>2</v>
      </c>
      <c r="F955" t="s">
        <v>8</v>
      </c>
      <c r="G955" t="s">
        <v>9</v>
      </c>
      <c r="H955">
        <v>38998.546000000002</v>
      </c>
    </row>
    <row r="956" spans="1:8" x14ac:dyDescent="0.3">
      <c r="A956">
        <v>34</v>
      </c>
      <c r="B956" t="s">
        <v>10</v>
      </c>
      <c r="C956">
        <v>27.835000000000001</v>
      </c>
      <c r="D956" t="str">
        <f t="shared" si="15"/>
        <v>Overweight</v>
      </c>
      <c r="E956">
        <v>1</v>
      </c>
      <c r="F956" t="s">
        <v>8</v>
      </c>
      <c r="G956" t="s">
        <v>13</v>
      </c>
      <c r="H956">
        <v>20009.63365</v>
      </c>
    </row>
    <row r="957" spans="1:8" x14ac:dyDescent="0.3">
      <c r="A957">
        <v>31</v>
      </c>
      <c r="B957" t="s">
        <v>10</v>
      </c>
      <c r="C957">
        <v>39.49</v>
      </c>
      <c r="D957" t="str">
        <f t="shared" si="15"/>
        <v>Obese</v>
      </c>
      <c r="E957">
        <v>1</v>
      </c>
      <c r="F957" t="s">
        <v>11</v>
      </c>
      <c r="G957" t="s">
        <v>12</v>
      </c>
      <c r="H957">
        <v>3875.7341000000001</v>
      </c>
    </row>
    <row r="958" spans="1:8" x14ac:dyDescent="0.3">
      <c r="A958">
        <v>54</v>
      </c>
      <c r="B958" t="s">
        <v>10</v>
      </c>
      <c r="C958">
        <v>30.8</v>
      </c>
      <c r="D958" t="str">
        <f t="shared" si="15"/>
        <v>Obese</v>
      </c>
      <c r="E958">
        <v>1</v>
      </c>
      <c r="F958" t="s">
        <v>8</v>
      </c>
      <c r="G958" t="s">
        <v>12</v>
      </c>
      <c r="H958">
        <v>41999.519999999997</v>
      </c>
    </row>
    <row r="959" spans="1:8" x14ac:dyDescent="0.3">
      <c r="A959">
        <v>24</v>
      </c>
      <c r="B959" t="s">
        <v>10</v>
      </c>
      <c r="C959">
        <v>26.79</v>
      </c>
      <c r="D959" t="str">
        <f t="shared" si="15"/>
        <v>Overweight</v>
      </c>
      <c r="E959">
        <v>1</v>
      </c>
      <c r="F959" t="s">
        <v>11</v>
      </c>
      <c r="G959" t="s">
        <v>13</v>
      </c>
      <c r="H959">
        <v>12609.88702</v>
      </c>
    </row>
    <row r="960" spans="1:8" x14ac:dyDescent="0.3">
      <c r="A960">
        <v>43</v>
      </c>
      <c r="B960" t="s">
        <v>10</v>
      </c>
      <c r="C960">
        <v>34.96</v>
      </c>
      <c r="D960" t="str">
        <f t="shared" si="15"/>
        <v>Obese</v>
      </c>
      <c r="E960">
        <v>1</v>
      </c>
      <c r="F960" t="s">
        <v>8</v>
      </c>
      <c r="G960" t="s">
        <v>14</v>
      </c>
      <c r="H960">
        <v>41034.221400000002</v>
      </c>
    </row>
    <row r="961" spans="1:8" x14ac:dyDescent="0.3">
      <c r="A961">
        <v>48</v>
      </c>
      <c r="B961" t="s">
        <v>10</v>
      </c>
      <c r="C961">
        <v>36.67</v>
      </c>
      <c r="D961" t="str">
        <f t="shared" si="15"/>
        <v>Obese</v>
      </c>
      <c r="E961">
        <v>1</v>
      </c>
      <c r="F961" t="s">
        <v>11</v>
      </c>
      <c r="G961" t="s">
        <v>13</v>
      </c>
      <c r="H961">
        <v>28468.919010000001</v>
      </c>
    </row>
    <row r="962" spans="1:8" x14ac:dyDescent="0.3">
      <c r="A962">
        <v>19</v>
      </c>
      <c r="B962" t="s">
        <v>7</v>
      </c>
      <c r="C962">
        <v>39.615000000000002</v>
      </c>
      <c r="D962" t="str">
        <f t="shared" si="15"/>
        <v>Obese</v>
      </c>
      <c r="E962">
        <v>1</v>
      </c>
      <c r="F962" t="s">
        <v>11</v>
      </c>
      <c r="G962" t="s">
        <v>13</v>
      </c>
      <c r="H962">
        <v>2730.1078499999999</v>
      </c>
    </row>
    <row r="963" spans="1:8" x14ac:dyDescent="0.3">
      <c r="A963">
        <v>29</v>
      </c>
      <c r="B963" t="s">
        <v>7</v>
      </c>
      <c r="C963">
        <v>25.9</v>
      </c>
      <c r="D963" t="str">
        <f t="shared" si="15"/>
        <v>Overweight</v>
      </c>
      <c r="E963">
        <v>0</v>
      </c>
      <c r="F963" t="s">
        <v>11</v>
      </c>
      <c r="G963" t="s">
        <v>9</v>
      </c>
      <c r="H963">
        <v>3353.2840000000001</v>
      </c>
    </row>
    <row r="964" spans="1:8" x14ac:dyDescent="0.3">
      <c r="A964">
        <v>63</v>
      </c>
      <c r="B964" t="s">
        <v>7</v>
      </c>
      <c r="C964">
        <v>35.200000000000003</v>
      </c>
      <c r="D964" t="str">
        <f t="shared" si="15"/>
        <v>Obese</v>
      </c>
      <c r="E964">
        <v>1</v>
      </c>
      <c r="F964" t="s">
        <v>11</v>
      </c>
      <c r="G964" t="s">
        <v>12</v>
      </c>
      <c r="H964">
        <v>14474.674999999999</v>
      </c>
    </row>
    <row r="965" spans="1:8" x14ac:dyDescent="0.3">
      <c r="A965">
        <v>46</v>
      </c>
      <c r="B965" t="s">
        <v>10</v>
      </c>
      <c r="C965">
        <v>24.795000000000002</v>
      </c>
      <c r="D965" t="str">
        <f t="shared" si="15"/>
        <v>Normal</v>
      </c>
      <c r="E965">
        <v>3</v>
      </c>
      <c r="F965" t="s">
        <v>11</v>
      </c>
      <c r="G965" t="s">
        <v>14</v>
      </c>
      <c r="H965">
        <v>9500.5730500000009</v>
      </c>
    </row>
    <row r="966" spans="1:8" x14ac:dyDescent="0.3">
      <c r="A966">
        <v>52</v>
      </c>
      <c r="B966" t="s">
        <v>10</v>
      </c>
      <c r="C966">
        <v>36.765000000000001</v>
      </c>
      <c r="D966" t="str">
        <f t="shared" si="15"/>
        <v>Obese</v>
      </c>
      <c r="E966">
        <v>2</v>
      </c>
      <c r="F966" t="s">
        <v>11</v>
      </c>
      <c r="G966" t="s">
        <v>13</v>
      </c>
      <c r="H966">
        <v>26467.09737</v>
      </c>
    </row>
    <row r="967" spans="1:8" x14ac:dyDescent="0.3">
      <c r="A967">
        <v>35</v>
      </c>
      <c r="B967" t="s">
        <v>10</v>
      </c>
      <c r="C967">
        <v>27.1</v>
      </c>
      <c r="D967" t="str">
        <f t="shared" si="15"/>
        <v>Overweight</v>
      </c>
      <c r="E967">
        <v>1</v>
      </c>
      <c r="F967" t="s">
        <v>11</v>
      </c>
      <c r="G967" t="s">
        <v>9</v>
      </c>
      <c r="H967">
        <v>4746.3440000000001</v>
      </c>
    </row>
    <row r="968" spans="1:8" x14ac:dyDescent="0.3">
      <c r="A968">
        <v>51</v>
      </c>
      <c r="B968" t="s">
        <v>10</v>
      </c>
      <c r="C968">
        <v>24.795000000000002</v>
      </c>
      <c r="D968" t="str">
        <f t="shared" si="15"/>
        <v>Normal</v>
      </c>
      <c r="E968">
        <v>2</v>
      </c>
      <c r="F968" t="s">
        <v>8</v>
      </c>
      <c r="G968" t="s">
        <v>13</v>
      </c>
      <c r="H968">
        <v>23967.38305</v>
      </c>
    </row>
    <row r="969" spans="1:8" x14ac:dyDescent="0.3">
      <c r="A969">
        <v>44</v>
      </c>
      <c r="B969" t="s">
        <v>10</v>
      </c>
      <c r="C969">
        <v>25.364999999999998</v>
      </c>
      <c r="D969" t="str">
        <f t="shared" si="15"/>
        <v>Overweight</v>
      </c>
      <c r="E969">
        <v>1</v>
      </c>
      <c r="F969" t="s">
        <v>11</v>
      </c>
      <c r="G969" t="s">
        <v>13</v>
      </c>
      <c r="H969">
        <v>7518.0253499999999</v>
      </c>
    </row>
    <row r="970" spans="1:8" x14ac:dyDescent="0.3">
      <c r="A970">
        <v>21</v>
      </c>
      <c r="B970" t="s">
        <v>10</v>
      </c>
      <c r="C970">
        <v>25.745000000000001</v>
      </c>
      <c r="D970" t="str">
        <f t="shared" si="15"/>
        <v>Overweight</v>
      </c>
      <c r="E970">
        <v>2</v>
      </c>
      <c r="F970" t="s">
        <v>11</v>
      </c>
      <c r="G970" t="s">
        <v>14</v>
      </c>
      <c r="H970">
        <v>3279.8685500000001</v>
      </c>
    </row>
    <row r="971" spans="1:8" x14ac:dyDescent="0.3">
      <c r="A971">
        <v>39</v>
      </c>
      <c r="B971" t="s">
        <v>7</v>
      </c>
      <c r="C971">
        <v>34.32</v>
      </c>
      <c r="D971" t="str">
        <f t="shared" si="15"/>
        <v>Obese</v>
      </c>
      <c r="E971">
        <v>5</v>
      </c>
      <c r="F971" t="s">
        <v>11</v>
      </c>
      <c r="G971" t="s">
        <v>12</v>
      </c>
      <c r="H971">
        <v>8596.8277999999991</v>
      </c>
    </row>
    <row r="972" spans="1:8" x14ac:dyDescent="0.3">
      <c r="A972">
        <v>50</v>
      </c>
      <c r="B972" t="s">
        <v>7</v>
      </c>
      <c r="C972">
        <v>28.16</v>
      </c>
      <c r="D972" t="str">
        <f t="shared" si="15"/>
        <v>Overweight</v>
      </c>
      <c r="E972">
        <v>3</v>
      </c>
      <c r="F972" t="s">
        <v>11</v>
      </c>
      <c r="G972" t="s">
        <v>12</v>
      </c>
      <c r="H972">
        <v>10702.642400000001</v>
      </c>
    </row>
    <row r="973" spans="1:8" x14ac:dyDescent="0.3">
      <c r="A973">
        <v>34</v>
      </c>
      <c r="B973" t="s">
        <v>7</v>
      </c>
      <c r="C973">
        <v>23.56</v>
      </c>
      <c r="D973" t="str">
        <f t="shared" si="15"/>
        <v>Normal</v>
      </c>
      <c r="E973">
        <v>0</v>
      </c>
      <c r="F973" t="s">
        <v>11</v>
      </c>
      <c r="G973" t="s">
        <v>14</v>
      </c>
      <c r="H973">
        <v>4992.3764000000001</v>
      </c>
    </row>
    <row r="974" spans="1:8" x14ac:dyDescent="0.3">
      <c r="A974">
        <v>22</v>
      </c>
      <c r="B974" t="s">
        <v>7</v>
      </c>
      <c r="C974">
        <v>20.234999999999999</v>
      </c>
      <c r="D974" t="str">
        <f t="shared" si="15"/>
        <v>Normal</v>
      </c>
      <c r="E974">
        <v>0</v>
      </c>
      <c r="F974" t="s">
        <v>11</v>
      </c>
      <c r="G974" t="s">
        <v>13</v>
      </c>
      <c r="H974">
        <v>2527.8186500000002</v>
      </c>
    </row>
    <row r="975" spans="1:8" x14ac:dyDescent="0.3">
      <c r="A975">
        <v>19</v>
      </c>
      <c r="B975" t="s">
        <v>7</v>
      </c>
      <c r="C975">
        <v>40.5</v>
      </c>
      <c r="D975" t="str">
        <f t="shared" si="15"/>
        <v>Obese</v>
      </c>
      <c r="E975">
        <v>0</v>
      </c>
      <c r="F975" t="s">
        <v>11</v>
      </c>
      <c r="G975" t="s">
        <v>9</v>
      </c>
      <c r="H975">
        <v>1759.338</v>
      </c>
    </row>
    <row r="976" spans="1:8" x14ac:dyDescent="0.3">
      <c r="A976">
        <v>26</v>
      </c>
      <c r="B976" t="s">
        <v>10</v>
      </c>
      <c r="C976">
        <v>35.42</v>
      </c>
      <c r="D976" t="str">
        <f t="shared" si="15"/>
        <v>Obese</v>
      </c>
      <c r="E976">
        <v>0</v>
      </c>
      <c r="F976" t="s">
        <v>11</v>
      </c>
      <c r="G976" t="s">
        <v>12</v>
      </c>
      <c r="H976">
        <v>2322.6217999999999</v>
      </c>
    </row>
    <row r="977" spans="1:8" x14ac:dyDescent="0.3">
      <c r="A977">
        <v>29</v>
      </c>
      <c r="B977" t="s">
        <v>10</v>
      </c>
      <c r="C977">
        <v>22.895</v>
      </c>
      <c r="D977" t="str">
        <f t="shared" si="15"/>
        <v>Normal</v>
      </c>
      <c r="E977">
        <v>0</v>
      </c>
      <c r="F977" t="s">
        <v>8</v>
      </c>
      <c r="G977" t="s">
        <v>14</v>
      </c>
      <c r="H977">
        <v>16138.762049999999</v>
      </c>
    </row>
    <row r="978" spans="1:8" x14ac:dyDescent="0.3">
      <c r="A978">
        <v>48</v>
      </c>
      <c r="B978" t="s">
        <v>10</v>
      </c>
      <c r="C978">
        <v>40.15</v>
      </c>
      <c r="D978" t="str">
        <f t="shared" si="15"/>
        <v>Obese</v>
      </c>
      <c r="E978">
        <v>0</v>
      </c>
      <c r="F978" t="s">
        <v>11</v>
      </c>
      <c r="G978" t="s">
        <v>12</v>
      </c>
      <c r="H978">
        <v>7804.1605</v>
      </c>
    </row>
    <row r="979" spans="1:8" x14ac:dyDescent="0.3">
      <c r="A979">
        <v>26</v>
      </c>
      <c r="B979" t="s">
        <v>10</v>
      </c>
      <c r="C979">
        <v>29.15</v>
      </c>
      <c r="D979" t="str">
        <f t="shared" si="15"/>
        <v>Overweight</v>
      </c>
      <c r="E979">
        <v>1</v>
      </c>
      <c r="F979" t="s">
        <v>11</v>
      </c>
      <c r="G979" t="s">
        <v>12</v>
      </c>
      <c r="H979">
        <v>2902.9065000000001</v>
      </c>
    </row>
    <row r="980" spans="1:8" x14ac:dyDescent="0.3">
      <c r="A980">
        <v>45</v>
      </c>
      <c r="B980" t="s">
        <v>7</v>
      </c>
      <c r="C980">
        <v>39.994999999999997</v>
      </c>
      <c r="D980" t="str">
        <f t="shared" si="15"/>
        <v>Obese</v>
      </c>
      <c r="E980">
        <v>3</v>
      </c>
      <c r="F980" t="s">
        <v>11</v>
      </c>
      <c r="G980" t="s">
        <v>14</v>
      </c>
      <c r="H980">
        <v>9704.6680500000002</v>
      </c>
    </row>
    <row r="981" spans="1:8" x14ac:dyDescent="0.3">
      <c r="A981">
        <v>36</v>
      </c>
      <c r="B981" t="s">
        <v>7</v>
      </c>
      <c r="C981">
        <v>29.92</v>
      </c>
      <c r="D981" t="str">
        <f t="shared" ref="D981:D1044" si="16">IF(C981&lt;18.5,"Underweight",IF(C981&lt;24.9,"Normal",IF(C981&lt;30,"Overweight","Obese")))</f>
        <v>Overweight</v>
      </c>
      <c r="E981">
        <v>0</v>
      </c>
      <c r="F981" t="s">
        <v>11</v>
      </c>
      <c r="G981" t="s">
        <v>12</v>
      </c>
      <c r="H981">
        <v>4889.0367999999999</v>
      </c>
    </row>
    <row r="982" spans="1:8" x14ac:dyDescent="0.3">
      <c r="A982">
        <v>54</v>
      </c>
      <c r="B982" t="s">
        <v>10</v>
      </c>
      <c r="C982">
        <v>25.46</v>
      </c>
      <c r="D982" t="str">
        <f t="shared" si="16"/>
        <v>Overweight</v>
      </c>
      <c r="E982">
        <v>1</v>
      </c>
      <c r="F982" t="s">
        <v>11</v>
      </c>
      <c r="G982" t="s">
        <v>14</v>
      </c>
      <c r="H982">
        <v>25517.11363</v>
      </c>
    </row>
    <row r="983" spans="1:8" x14ac:dyDescent="0.3">
      <c r="A983">
        <v>34</v>
      </c>
      <c r="B983" t="s">
        <v>10</v>
      </c>
      <c r="C983">
        <v>21.375</v>
      </c>
      <c r="D983" t="str">
        <f t="shared" si="16"/>
        <v>Normal</v>
      </c>
      <c r="E983">
        <v>0</v>
      </c>
      <c r="F983" t="s">
        <v>11</v>
      </c>
      <c r="G983" t="s">
        <v>14</v>
      </c>
      <c r="H983">
        <v>4500.33925</v>
      </c>
    </row>
    <row r="984" spans="1:8" x14ac:dyDescent="0.3">
      <c r="A984">
        <v>31</v>
      </c>
      <c r="B984" t="s">
        <v>10</v>
      </c>
      <c r="C984">
        <v>25.9</v>
      </c>
      <c r="D984" t="str">
        <f t="shared" si="16"/>
        <v>Overweight</v>
      </c>
      <c r="E984">
        <v>3</v>
      </c>
      <c r="F984" t="s">
        <v>8</v>
      </c>
      <c r="G984" t="s">
        <v>9</v>
      </c>
      <c r="H984">
        <v>19199.944</v>
      </c>
    </row>
    <row r="985" spans="1:8" x14ac:dyDescent="0.3">
      <c r="A985">
        <v>27</v>
      </c>
      <c r="B985" t="s">
        <v>7</v>
      </c>
      <c r="C985">
        <v>30.59</v>
      </c>
      <c r="D985" t="str">
        <f t="shared" si="16"/>
        <v>Obese</v>
      </c>
      <c r="E985">
        <v>1</v>
      </c>
      <c r="F985" t="s">
        <v>11</v>
      </c>
      <c r="G985" t="s">
        <v>14</v>
      </c>
      <c r="H985">
        <v>16796.411940000002</v>
      </c>
    </row>
    <row r="986" spans="1:8" x14ac:dyDescent="0.3">
      <c r="A986">
        <v>20</v>
      </c>
      <c r="B986" t="s">
        <v>10</v>
      </c>
      <c r="C986">
        <v>30.114999999999998</v>
      </c>
      <c r="D986" t="str">
        <f t="shared" si="16"/>
        <v>Obese</v>
      </c>
      <c r="E986">
        <v>5</v>
      </c>
      <c r="F986" t="s">
        <v>11</v>
      </c>
      <c r="G986" t="s">
        <v>14</v>
      </c>
      <c r="H986">
        <v>4915.0598499999996</v>
      </c>
    </row>
    <row r="987" spans="1:8" x14ac:dyDescent="0.3">
      <c r="A987">
        <v>44</v>
      </c>
      <c r="B987" t="s">
        <v>7</v>
      </c>
      <c r="C987">
        <v>25.8</v>
      </c>
      <c r="D987" t="str">
        <f t="shared" si="16"/>
        <v>Overweight</v>
      </c>
      <c r="E987">
        <v>1</v>
      </c>
      <c r="F987" t="s">
        <v>11</v>
      </c>
      <c r="G987" t="s">
        <v>9</v>
      </c>
      <c r="H987">
        <v>7624.63</v>
      </c>
    </row>
    <row r="988" spans="1:8" x14ac:dyDescent="0.3">
      <c r="A988">
        <v>43</v>
      </c>
      <c r="B988" t="s">
        <v>10</v>
      </c>
      <c r="C988">
        <v>30.114999999999998</v>
      </c>
      <c r="D988" t="str">
        <f t="shared" si="16"/>
        <v>Obese</v>
      </c>
      <c r="E988">
        <v>3</v>
      </c>
      <c r="F988" t="s">
        <v>11</v>
      </c>
      <c r="G988" t="s">
        <v>13</v>
      </c>
      <c r="H988">
        <v>8410.0468500000006</v>
      </c>
    </row>
    <row r="989" spans="1:8" x14ac:dyDescent="0.3">
      <c r="A989">
        <v>45</v>
      </c>
      <c r="B989" t="s">
        <v>7</v>
      </c>
      <c r="C989">
        <v>27.645</v>
      </c>
      <c r="D989" t="str">
        <f t="shared" si="16"/>
        <v>Overweight</v>
      </c>
      <c r="E989">
        <v>1</v>
      </c>
      <c r="F989" t="s">
        <v>11</v>
      </c>
      <c r="G989" t="s">
        <v>13</v>
      </c>
      <c r="H989">
        <v>28340.188849999999</v>
      </c>
    </row>
    <row r="990" spans="1:8" x14ac:dyDescent="0.3">
      <c r="A990">
        <v>34</v>
      </c>
      <c r="B990" t="s">
        <v>10</v>
      </c>
      <c r="C990">
        <v>34.674999999999997</v>
      </c>
      <c r="D990" t="str">
        <f t="shared" si="16"/>
        <v>Obese</v>
      </c>
      <c r="E990">
        <v>0</v>
      </c>
      <c r="F990" t="s">
        <v>11</v>
      </c>
      <c r="G990" t="s">
        <v>14</v>
      </c>
      <c r="H990">
        <v>4518.8262500000001</v>
      </c>
    </row>
    <row r="991" spans="1:8" x14ac:dyDescent="0.3">
      <c r="A991">
        <v>24</v>
      </c>
      <c r="B991" t="s">
        <v>7</v>
      </c>
      <c r="C991">
        <v>20.52</v>
      </c>
      <c r="D991" t="str">
        <f t="shared" si="16"/>
        <v>Normal</v>
      </c>
      <c r="E991">
        <v>0</v>
      </c>
      <c r="F991" t="s">
        <v>8</v>
      </c>
      <c r="G991" t="s">
        <v>14</v>
      </c>
      <c r="H991">
        <v>14571.890799999999</v>
      </c>
    </row>
    <row r="992" spans="1:8" x14ac:dyDescent="0.3">
      <c r="A992">
        <v>26</v>
      </c>
      <c r="B992" t="s">
        <v>7</v>
      </c>
      <c r="C992">
        <v>19.8</v>
      </c>
      <c r="D992" t="str">
        <f t="shared" si="16"/>
        <v>Normal</v>
      </c>
      <c r="E992">
        <v>1</v>
      </c>
      <c r="F992" t="s">
        <v>11</v>
      </c>
      <c r="G992" t="s">
        <v>9</v>
      </c>
      <c r="H992">
        <v>3378.91</v>
      </c>
    </row>
    <row r="993" spans="1:8" x14ac:dyDescent="0.3">
      <c r="A993">
        <v>38</v>
      </c>
      <c r="B993" t="s">
        <v>7</v>
      </c>
      <c r="C993">
        <v>27.835000000000001</v>
      </c>
      <c r="D993" t="str">
        <f t="shared" si="16"/>
        <v>Overweight</v>
      </c>
      <c r="E993">
        <v>2</v>
      </c>
      <c r="F993" t="s">
        <v>11</v>
      </c>
      <c r="G993" t="s">
        <v>14</v>
      </c>
      <c r="H993">
        <v>7144.86265</v>
      </c>
    </row>
    <row r="994" spans="1:8" x14ac:dyDescent="0.3">
      <c r="A994">
        <v>50</v>
      </c>
      <c r="B994" t="s">
        <v>7</v>
      </c>
      <c r="C994">
        <v>31.6</v>
      </c>
      <c r="D994" t="str">
        <f t="shared" si="16"/>
        <v>Obese</v>
      </c>
      <c r="E994">
        <v>2</v>
      </c>
      <c r="F994" t="s">
        <v>11</v>
      </c>
      <c r="G994" t="s">
        <v>9</v>
      </c>
      <c r="H994">
        <v>10118.424000000001</v>
      </c>
    </row>
    <row r="995" spans="1:8" x14ac:dyDescent="0.3">
      <c r="A995">
        <v>38</v>
      </c>
      <c r="B995" t="s">
        <v>10</v>
      </c>
      <c r="C995">
        <v>28.27</v>
      </c>
      <c r="D995" t="str">
        <f t="shared" si="16"/>
        <v>Overweight</v>
      </c>
      <c r="E995">
        <v>1</v>
      </c>
      <c r="F995" t="s">
        <v>11</v>
      </c>
      <c r="G995" t="s">
        <v>12</v>
      </c>
      <c r="H995">
        <v>5484.4673000000003</v>
      </c>
    </row>
    <row r="996" spans="1:8" x14ac:dyDescent="0.3">
      <c r="A996">
        <v>27</v>
      </c>
      <c r="B996" t="s">
        <v>7</v>
      </c>
      <c r="C996">
        <v>20.045000000000002</v>
      </c>
      <c r="D996" t="str">
        <f t="shared" si="16"/>
        <v>Normal</v>
      </c>
      <c r="E996">
        <v>3</v>
      </c>
      <c r="F996" t="s">
        <v>8</v>
      </c>
      <c r="G996" t="s">
        <v>13</v>
      </c>
      <c r="H996">
        <v>16420.494549999999</v>
      </c>
    </row>
    <row r="997" spans="1:8" x14ac:dyDescent="0.3">
      <c r="A997">
        <v>39</v>
      </c>
      <c r="B997" t="s">
        <v>7</v>
      </c>
      <c r="C997">
        <v>23.274999999999999</v>
      </c>
      <c r="D997" t="str">
        <f t="shared" si="16"/>
        <v>Normal</v>
      </c>
      <c r="E997">
        <v>3</v>
      </c>
      <c r="F997" t="s">
        <v>11</v>
      </c>
      <c r="G997" t="s">
        <v>14</v>
      </c>
      <c r="H997">
        <v>7986.4752500000004</v>
      </c>
    </row>
    <row r="998" spans="1:8" x14ac:dyDescent="0.3">
      <c r="A998">
        <v>39</v>
      </c>
      <c r="B998" t="s">
        <v>7</v>
      </c>
      <c r="C998">
        <v>34.1</v>
      </c>
      <c r="D998" t="str">
        <f t="shared" si="16"/>
        <v>Obese</v>
      </c>
      <c r="E998">
        <v>3</v>
      </c>
      <c r="F998" t="s">
        <v>11</v>
      </c>
      <c r="G998" t="s">
        <v>9</v>
      </c>
      <c r="H998">
        <v>7418.5219999999999</v>
      </c>
    </row>
    <row r="999" spans="1:8" x14ac:dyDescent="0.3">
      <c r="A999">
        <v>63</v>
      </c>
      <c r="B999" t="s">
        <v>7</v>
      </c>
      <c r="C999">
        <v>36.85</v>
      </c>
      <c r="D999" t="str">
        <f t="shared" si="16"/>
        <v>Obese</v>
      </c>
      <c r="E999">
        <v>0</v>
      </c>
      <c r="F999" t="s">
        <v>11</v>
      </c>
      <c r="G999" t="s">
        <v>12</v>
      </c>
      <c r="H999">
        <v>13887.968500000001</v>
      </c>
    </row>
    <row r="1000" spans="1:8" x14ac:dyDescent="0.3">
      <c r="A1000">
        <v>33</v>
      </c>
      <c r="B1000" t="s">
        <v>7</v>
      </c>
      <c r="C1000">
        <v>36.29</v>
      </c>
      <c r="D1000" t="str">
        <f t="shared" si="16"/>
        <v>Obese</v>
      </c>
      <c r="E1000">
        <v>3</v>
      </c>
      <c r="F1000" t="s">
        <v>11</v>
      </c>
      <c r="G1000" t="s">
        <v>14</v>
      </c>
      <c r="H1000">
        <v>6551.7501000000002</v>
      </c>
    </row>
    <row r="1001" spans="1:8" x14ac:dyDescent="0.3">
      <c r="A1001">
        <v>36</v>
      </c>
      <c r="B1001" t="s">
        <v>7</v>
      </c>
      <c r="C1001">
        <v>26.885000000000002</v>
      </c>
      <c r="D1001" t="str">
        <f t="shared" si="16"/>
        <v>Overweight</v>
      </c>
      <c r="E1001">
        <v>0</v>
      </c>
      <c r="F1001" t="s">
        <v>11</v>
      </c>
      <c r="G1001" t="s">
        <v>13</v>
      </c>
      <c r="H1001">
        <v>5267.8181500000001</v>
      </c>
    </row>
    <row r="1002" spans="1:8" x14ac:dyDescent="0.3">
      <c r="A1002">
        <v>30</v>
      </c>
      <c r="B1002" t="s">
        <v>10</v>
      </c>
      <c r="C1002">
        <v>22.99</v>
      </c>
      <c r="D1002" t="str">
        <f t="shared" si="16"/>
        <v>Normal</v>
      </c>
      <c r="E1002">
        <v>2</v>
      </c>
      <c r="F1002" t="s">
        <v>8</v>
      </c>
      <c r="G1002" t="s">
        <v>13</v>
      </c>
      <c r="H1002">
        <v>17361.766100000001</v>
      </c>
    </row>
    <row r="1003" spans="1:8" x14ac:dyDescent="0.3">
      <c r="A1003">
        <v>24</v>
      </c>
      <c r="B1003" t="s">
        <v>10</v>
      </c>
      <c r="C1003">
        <v>32.700000000000003</v>
      </c>
      <c r="D1003" t="str">
        <f t="shared" si="16"/>
        <v>Obese</v>
      </c>
      <c r="E1003">
        <v>0</v>
      </c>
      <c r="F1003" t="s">
        <v>8</v>
      </c>
      <c r="G1003" t="s">
        <v>9</v>
      </c>
      <c r="H1003">
        <v>34472.841</v>
      </c>
    </row>
    <row r="1004" spans="1:8" x14ac:dyDescent="0.3">
      <c r="A1004">
        <v>24</v>
      </c>
      <c r="B1004" t="s">
        <v>10</v>
      </c>
      <c r="C1004">
        <v>25.8</v>
      </c>
      <c r="D1004" t="str">
        <f t="shared" si="16"/>
        <v>Overweight</v>
      </c>
      <c r="E1004">
        <v>0</v>
      </c>
      <c r="F1004" t="s">
        <v>11</v>
      </c>
      <c r="G1004" t="s">
        <v>9</v>
      </c>
      <c r="H1004">
        <v>1972.95</v>
      </c>
    </row>
    <row r="1005" spans="1:8" x14ac:dyDescent="0.3">
      <c r="A1005">
        <v>48</v>
      </c>
      <c r="B1005" t="s">
        <v>10</v>
      </c>
      <c r="C1005">
        <v>29.6</v>
      </c>
      <c r="D1005" t="str">
        <f t="shared" si="16"/>
        <v>Overweight</v>
      </c>
      <c r="E1005">
        <v>0</v>
      </c>
      <c r="F1005" t="s">
        <v>11</v>
      </c>
      <c r="G1005" t="s">
        <v>9</v>
      </c>
      <c r="H1005">
        <v>21232.182260000001</v>
      </c>
    </row>
    <row r="1006" spans="1:8" x14ac:dyDescent="0.3">
      <c r="A1006">
        <v>47</v>
      </c>
      <c r="B1006" t="s">
        <v>10</v>
      </c>
      <c r="C1006">
        <v>19.190000000000001</v>
      </c>
      <c r="D1006" t="str">
        <f t="shared" si="16"/>
        <v>Normal</v>
      </c>
      <c r="E1006">
        <v>1</v>
      </c>
      <c r="F1006" t="s">
        <v>11</v>
      </c>
      <c r="G1006" t="s">
        <v>14</v>
      </c>
      <c r="H1006">
        <v>8627.5411000000004</v>
      </c>
    </row>
    <row r="1007" spans="1:8" x14ac:dyDescent="0.3">
      <c r="A1007">
        <v>29</v>
      </c>
      <c r="B1007" t="s">
        <v>10</v>
      </c>
      <c r="C1007">
        <v>31.73</v>
      </c>
      <c r="D1007" t="str">
        <f t="shared" si="16"/>
        <v>Obese</v>
      </c>
      <c r="E1007">
        <v>2</v>
      </c>
      <c r="F1007" t="s">
        <v>11</v>
      </c>
      <c r="G1007" t="s">
        <v>13</v>
      </c>
      <c r="H1007">
        <v>4433.3877000000002</v>
      </c>
    </row>
    <row r="1008" spans="1:8" x14ac:dyDescent="0.3">
      <c r="A1008">
        <v>28</v>
      </c>
      <c r="B1008" t="s">
        <v>10</v>
      </c>
      <c r="C1008">
        <v>29.26</v>
      </c>
      <c r="D1008" t="str">
        <f t="shared" si="16"/>
        <v>Overweight</v>
      </c>
      <c r="E1008">
        <v>2</v>
      </c>
      <c r="F1008" t="s">
        <v>11</v>
      </c>
      <c r="G1008" t="s">
        <v>14</v>
      </c>
      <c r="H1008">
        <v>4438.2633999999998</v>
      </c>
    </row>
    <row r="1009" spans="1:8" x14ac:dyDescent="0.3">
      <c r="A1009">
        <v>47</v>
      </c>
      <c r="B1009" t="s">
        <v>10</v>
      </c>
      <c r="C1009">
        <v>28.215</v>
      </c>
      <c r="D1009" t="str">
        <f t="shared" si="16"/>
        <v>Overweight</v>
      </c>
      <c r="E1009">
        <v>3</v>
      </c>
      <c r="F1009" t="s">
        <v>8</v>
      </c>
      <c r="G1009" t="s">
        <v>13</v>
      </c>
      <c r="H1009">
        <v>24915.220850000002</v>
      </c>
    </row>
    <row r="1010" spans="1:8" x14ac:dyDescent="0.3">
      <c r="A1010">
        <v>25</v>
      </c>
      <c r="B1010" t="s">
        <v>10</v>
      </c>
      <c r="C1010">
        <v>24.984999999999999</v>
      </c>
      <c r="D1010" t="str">
        <f t="shared" si="16"/>
        <v>Overweight</v>
      </c>
      <c r="E1010">
        <v>2</v>
      </c>
      <c r="F1010" t="s">
        <v>11</v>
      </c>
      <c r="G1010" t="s">
        <v>14</v>
      </c>
      <c r="H1010">
        <v>23241.47453</v>
      </c>
    </row>
    <row r="1011" spans="1:8" x14ac:dyDescent="0.3">
      <c r="A1011">
        <v>51</v>
      </c>
      <c r="B1011" t="s">
        <v>10</v>
      </c>
      <c r="C1011">
        <v>27.74</v>
      </c>
      <c r="D1011" t="str">
        <f t="shared" si="16"/>
        <v>Overweight</v>
      </c>
      <c r="E1011">
        <v>1</v>
      </c>
      <c r="F1011" t="s">
        <v>11</v>
      </c>
      <c r="G1011" t="s">
        <v>14</v>
      </c>
      <c r="H1011">
        <v>9957.7216000000008</v>
      </c>
    </row>
    <row r="1012" spans="1:8" x14ac:dyDescent="0.3">
      <c r="A1012">
        <v>48</v>
      </c>
      <c r="B1012" t="s">
        <v>7</v>
      </c>
      <c r="C1012">
        <v>22.8</v>
      </c>
      <c r="D1012" t="str">
        <f t="shared" si="16"/>
        <v>Normal</v>
      </c>
      <c r="E1012">
        <v>0</v>
      </c>
      <c r="F1012" t="s">
        <v>11</v>
      </c>
      <c r="G1012" t="s">
        <v>9</v>
      </c>
      <c r="H1012">
        <v>8269.0439999999999</v>
      </c>
    </row>
    <row r="1013" spans="1:8" x14ac:dyDescent="0.3">
      <c r="A1013">
        <v>43</v>
      </c>
      <c r="B1013" t="s">
        <v>10</v>
      </c>
      <c r="C1013">
        <v>20.13</v>
      </c>
      <c r="D1013" t="str">
        <f t="shared" si="16"/>
        <v>Normal</v>
      </c>
      <c r="E1013">
        <v>2</v>
      </c>
      <c r="F1013" t="s">
        <v>8</v>
      </c>
      <c r="G1013" t="s">
        <v>12</v>
      </c>
      <c r="H1013">
        <v>18767.737700000001</v>
      </c>
    </row>
    <row r="1014" spans="1:8" x14ac:dyDescent="0.3">
      <c r="A1014">
        <v>61</v>
      </c>
      <c r="B1014" t="s">
        <v>7</v>
      </c>
      <c r="C1014">
        <v>33.33</v>
      </c>
      <c r="D1014" t="str">
        <f t="shared" si="16"/>
        <v>Obese</v>
      </c>
      <c r="E1014">
        <v>4</v>
      </c>
      <c r="F1014" t="s">
        <v>11</v>
      </c>
      <c r="G1014" t="s">
        <v>12</v>
      </c>
      <c r="H1014">
        <v>36580.282160000002</v>
      </c>
    </row>
    <row r="1015" spans="1:8" x14ac:dyDescent="0.3">
      <c r="A1015">
        <v>48</v>
      </c>
      <c r="B1015" t="s">
        <v>10</v>
      </c>
      <c r="C1015">
        <v>32.299999999999997</v>
      </c>
      <c r="D1015" t="str">
        <f t="shared" si="16"/>
        <v>Obese</v>
      </c>
      <c r="E1015">
        <v>1</v>
      </c>
      <c r="F1015" t="s">
        <v>11</v>
      </c>
      <c r="G1015" t="s">
        <v>13</v>
      </c>
      <c r="H1015">
        <v>8765.2489999999998</v>
      </c>
    </row>
    <row r="1016" spans="1:8" x14ac:dyDescent="0.3">
      <c r="A1016">
        <v>38</v>
      </c>
      <c r="B1016" t="s">
        <v>7</v>
      </c>
      <c r="C1016">
        <v>27.6</v>
      </c>
      <c r="D1016" t="str">
        <f t="shared" si="16"/>
        <v>Overweight</v>
      </c>
      <c r="E1016">
        <v>0</v>
      </c>
      <c r="F1016" t="s">
        <v>11</v>
      </c>
      <c r="G1016" t="s">
        <v>9</v>
      </c>
      <c r="H1016">
        <v>5383.5360000000001</v>
      </c>
    </row>
    <row r="1017" spans="1:8" x14ac:dyDescent="0.3">
      <c r="A1017">
        <v>59</v>
      </c>
      <c r="B1017" t="s">
        <v>10</v>
      </c>
      <c r="C1017">
        <v>25.46</v>
      </c>
      <c r="D1017" t="str">
        <f t="shared" si="16"/>
        <v>Overweight</v>
      </c>
      <c r="E1017">
        <v>0</v>
      </c>
      <c r="F1017" t="s">
        <v>11</v>
      </c>
      <c r="G1017" t="s">
        <v>13</v>
      </c>
      <c r="H1017">
        <v>12124.992399999999</v>
      </c>
    </row>
    <row r="1018" spans="1:8" x14ac:dyDescent="0.3">
      <c r="A1018">
        <v>19</v>
      </c>
      <c r="B1018" t="s">
        <v>7</v>
      </c>
      <c r="C1018">
        <v>24.605</v>
      </c>
      <c r="D1018" t="str">
        <f t="shared" si="16"/>
        <v>Normal</v>
      </c>
      <c r="E1018">
        <v>1</v>
      </c>
      <c r="F1018" t="s">
        <v>11</v>
      </c>
      <c r="G1018" t="s">
        <v>13</v>
      </c>
      <c r="H1018">
        <v>2709.24395</v>
      </c>
    </row>
    <row r="1019" spans="1:8" x14ac:dyDescent="0.3">
      <c r="A1019">
        <v>26</v>
      </c>
      <c r="B1019" t="s">
        <v>7</v>
      </c>
      <c r="C1019">
        <v>34.200000000000003</v>
      </c>
      <c r="D1019" t="str">
        <f t="shared" si="16"/>
        <v>Obese</v>
      </c>
      <c r="E1019">
        <v>2</v>
      </c>
      <c r="F1019" t="s">
        <v>11</v>
      </c>
      <c r="G1019" t="s">
        <v>9</v>
      </c>
      <c r="H1019">
        <v>3987.9259999999999</v>
      </c>
    </row>
    <row r="1020" spans="1:8" x14ac:dyDescent="0.3">
      <c r="A1020">
        <v>54</v>
      </c>
      <c r="B1020" t="s">
        <v>7</v>
      </c>
      <c r="C1020">
        <v>35.814999999999998</v>
      </c>
      <c r="D1020" t="str">
        <f t="shared" si="16"/>
        <v>Obese</v>
      </c>
      <c r="E1020">
        <v>3</v>
      </c>
      <c r="F1020" t="s">
        <v>11</v>
      </c>
      <c r="G1020" t="s">
        <v>13</v>
      </c>
      <c r="H1020">
        <v>12495.290849999999</v>
      </c>
    </row>
    <row r="1021" spans="1:8" x14ac:dyDescent="0.3">
      <c r="A1021">
        <v>21</v>
      </c>
      <c r="B1021" t="s">
        <v>7</v>
      </c>
      <c r="C1021">
        <v>32.68</v>
      </c>
      <c r="D1021" t="str">
        <f t="shared" si="16"/>
        <v>Obese</v>
      </c>
      <c r="E1021">
        <v>2</v>
      </c>
      <c r="F1021" t="s">
        <v>11</v>
      </c>
      <c r="G1021" t="s">
        <v>13</v>
      </c>
      <c r="H1021">
        <v>26018.950519999999</v>
      </c>
    </row>
    <row r="1022" spans="1:8" x14ac:dyDescent="0.3">
      <c r="A1022">
        <v>51</v>
      </c>
      <c r="B1022" t="s">
        <v>10</v>
      </c>
      <c r="C1022">
        <v>37</v>
      </c>
      <c r="D1022" t="str">
        <f t="shared" si="16"/>
        <v>Obese</v>
      </c>
      <c r="E1022">
        <v>0</v>
      </c>
      <c r="F1022" t="s">
        <v>11</v>
      </c>
      <c r="G1022" t="s">
        <v>9</v>
      </c>
      <c r="H1022">
        <v>8798.5930000000008</v>
      </c>
    </row>
    <row r="1023" spans="1:8" x14ac:dyDescent="0.3">
      <c r="A1023">
        <v>22</v>
      </c>
      <c r="B1023" t="s">
        <v>7</v>
      </c>
      <c r="C1023">
        <v>31.02</v>
      </c>
      <c r="D1023" t="str">
        <f t="shared" si="16"/>
        <v>Obese</v>
      </c>
      <c r="E1023">
        <v>3</v>
      </c>
      <c r="F1023" t="s">
        <v>8</v>
      </c>
      <c r="G1023" t="s">
        <v>12</v>
      </c>
      <c r="H1023">
        <v>35595.589800000002</v>
      </c>
    </row>
    <row r="1024" spans="1:8" x14ac:dyDescent="0.3">
      <c r="A1024">
        <v>47</v>
      </c>
      <c r="B1024" t="s">
        <v>10</v>
      </c>
      <c r="C1024">
        <v>36.08</v>
      </c>
      <c r="D1024" t="str">
        <f t="shared" si="16"/>
        <v>Obese</v>
      </c>
      <c r="E1024">
        <v>1</v>
      </c>
      <c r="F1024" t="s">
        <v>8</v>
      </c>
      <c r="G1024" t="s">
        <v>12</v>
      </c>
      <c r="H1024">
        <v>42211.138200000001</v>
      </c>
    </row>
    <row r="1025" spans="1:8" x14ac:dyDescent="0.3">
      <c r="A1025">
        <v>18</v>
      </c>
      <c r="B1025" t="s">
        <v>10</v>
      </c>
      <c r="C1025">
        <v>23.32</v>
      </c>
      <c r="D1025" t="str">
        <f t="shared" si="16"/>
        <v>Normal</v>
      </c>
      <c r="E1025">
        <v>1</v>
      </c>
      <c r="F1025" t="s">
        <v>11</v>
      </c>
      <c r="G1025" t="s">
        <v>12</v>
      </c>
      <c r="H1025">
        <v>1711.0268000000001</v>
      </c>
    </row>
    <row r="1026" spans="1:8" x14ac:dyDescent="0.3">
      <c r="A1026">
        <v>47</v>
      </c>
      <c r="B1026" t="s">
        <v>7</v>
      </c>
      <c r="C1026">
        <v>45.32</v>
      </c>
      <c r="D1026" t="str">
        <f t="shared" si="16"/>
        <v>Obese</v>
      </c>
      <c r="E1026">
        <v>1</v>
      </c>
      <c r="F1026" t="s">
        <v>11</v>
      </c>
      <c r="G1026" t="s">
        <v>12</v>
      </c>
      <c r="H1026">
        <v>8569.8618000000006</v>
      </c>
    </row>
    <row r="1027" spans="1:8" x14ac:dyDescent="0.3">
      <c r="A1027">
        <v>21</v>
      </c>
      <c r="B1027" t="s">
        <v>7</v>
      </c>
      <c r="C1027">
        <v>34.6</v>
      </c>
      <c r="D1027" t="str">
        <f t="shared" si="16"/>
        <v>Obese</v>
      </c>
      <c r="E1027">
        <v>0</v>
      </c>
      <c r="F1027" t="s">
        <v>11</v>
      </c>
      <c r="G1027" t="s">
        <v>9</v>
      </c>
      <c r="H1027">
        <v>2020.1769999999999</v>
      </c>
    </row>
    <row r="1028" spans="1:8" x14ac:dyDescent="0.3">
      <c r="A1028">
        <v>19</v>
      </c>
      <c r="B1028" t="s">
        <v>10</v>
      </c>
      <c r="C1028">
        <v>26.03</v>
      </c>
      <c r="D1028" t="str">
        <f t="shared" si="16"/>
        <v>Overweight</v>
      </c>
      <c r="E1028">
        <v>1</v>
      </c>
      <c r="F1028" t="s">
        <v>8</v>
      </c>
      <c r="G1028" t="s">
        <v>13</v>
      </c>
      <c r="H1028">
        <v>16450.894700000001</v>
      </c>
    </row>
    <row r="1029" spans="1:8" x14ac:dyDescent="0.3">
      <c r="A1029">
        <v>23</v>
      </c>
      <c r="B1029" t="s">
        <v>10</v>
      </c>
      <c r="C1029">
        <v>18.715</v>
      </c>
      <c r="D1029" t="str">
        <f t="shared" si="16"/>
        <v>Normal</v>
      </c>
      <c r="E1029">
        <v>0</v>
      </c>
      <c r="F1029" t="s">
        <v>11</v>
      </c>
      <c r="G1029" t="s">
        <v>13</v>
      </c>
      <c r="H1029">
        <v>21595.382290000001</v>
      </c>
    </row>
    <row r="1030" spans="1:8" x14ac:dyDescent="0.3">
      <c r="A1030">
        <v>54</v>
      </c>
      <c r="B1030" t="s">
        <v>10</v>
      </c>
      <c r="C1030">
        <v>31.6</v>
      </c>
      <c r="D1030" t="str">
        <f t="shared" si="16"/>
        <v>Obese</v>
      </c>
      <c r="E1030">
        <v>0</v>
      </c>
      <c r="F1030" t="s">
        <v>11</v>
      </c>
      <c r="G1030" t="s">
        <v>9</v>
      </c>
      <c r="H1030">
        <v>9850.4320000000007</v>
      </c>
    </row>
    <row r="1031" spans="1:8" x14ac:dyDescent="0.3">
      <c r="A1031">
        <v>37</v>
      </c>
      <c r="B1031" t="s">
        <v>7</v>
      </c>
      <c r="C1031">
        <v>17.29</v>
      </c>
      <c r="D1031" t="str">
        <f t="shared" si="16"/>
        <v>Underweight</v>
      </c>
      <c r="E1031">
        <v>2</v>
      </c>
      <c r="F1031" t="s">
        <v>11</v>
      </c>
      <c r="G1031" t="s">
        <v>14</v>
      </c>
      <c r="H1031">
        <v>6877.9800999999998</v>
      </c>
    </row>
    <row r="1032" spans="1:8" x14ac:dyDescent="0.3">
      <c r="A1032">
        <v>46</v>
      </c>
      <c r="B1032" t="s">
        <v>7</v>
      </c>
      <c r="C1032">
        <v>23.655000000000001</v>
      </c>
      <c r="D1032" t="str">
        <f t="shared" si="16"/>
        <v>Normal</v>
      </c>
      <c r="E1032">
        <v>1</v>
      </c>
      <c r="F1032" t="s">
        <v>8</v>
      </c>
      <c r="G1032" t="s">
        <v>13</v>
      </c>
      <c r="H1032">
        <v>21677.283449999999</v>
      </c>
    </row>
    <row r="1033" spans="1:8" x14ac:dyDescent="0.3">
      <c r="A1033">
        <v>55</v>
      </c>
      <c r="B1033" t="s">
        <v>7</v>
      </c>
      <c r="C1033">
        <v>35.200000000000003</v>
      </c>
      <c r="D1033" t="str">
        <f t="shared" si="16"/>
        <v>Obese</v>
      </c>
      <c r="E1033">
        <v>0</v>
      </c>
      <c r="F1033" t="s">
        <v>8</v>
      </c>
      <c r="G1033" t="s">
        <v>12</v>
      </c>
      <c r="H1033">
        <v>44423.803</v>
      </c>
    </row>
    <row r="1034" spans="1:8" x14ac:dyDescent="0.3">
      <c r="A1034">
        <v>30</v>
      </c>
      <c r="B1034" t="s">
        <v>7</v>
      </c>
      <c r="C1034">
        <v>27.93</v>
      </c>
      <c r="D1034" t="str">
        <f t="shared" si="16"/>
        <v>Overweight</v>
      </c>
      <c r="E1034">
        <v>0</v>
      </c>
      <c r="F1034" t="s">
        <v>11</v>
      </c>
      <c r="G1034" t="s">
        <v>14</v>
      </c>
      <c r="H1034">
        <v>4137.5227000000004</v>
      </c>
    </row>
    <row r="1035" spans="1:8" x14ac:dyDescent="0.3">
      <c r="A1035">
        <v>18</v>
      </c>
      <c r="B1035" t="s">
        <v>10</v>
      </c>
      <c r="C1035">
        <v>21.565000000000001</v>
      </c>
      <c r="D1035" t="str">
        <f t="shared" si="16"/>
        <v>Normal</v>
      </c>
      <c r="E1035">
        <v>0</v>
      </c>
      <c r="F1035" t="s">
        <v>8</v>
      </c>
      <c r="G1035" t="s">
        <v>14</v>
      </c>
      <c r="H1035">
        <v>13747.87235</v>
      </c>
    </row>
    <row r="1036" spans="1:8" x14ac:dyDescent="0.3">
      <c r="A1036">
        <v>61</v>
      </c>
      <c r="B1036" t="s">
        <v>10</v>
      </c>
      <c r="C1036">
        <v>38.380000000000003</v>
      </c>
      <c r="D1036" t="str">
        <f t="shared" si="16"/>
        <v>Obese</v>
      </c>
      <c r="E1036">
        <v>0</v>
      </c>
      <c r="F1036" t="s">
        <v>11</v>
      </c>
      <c r="G1036" t="s">
        <v>13</v>
      </c>
      <c r="H1036">
        <v>12950.0712</v>
      </c>
    </row>
    <row r="1037" spans="1:8" x14ac:dyDescent="0.3">
      <c r="A1037">
        <v>54</v>
      </c>
      <c r="B1037" t="s">
        <v>7</v>
      </c>
      <c r="C1037">
        <v>23</v>
      </c>
      <c r="D1037" t="str">
        <f t="shared" si="16"/>
        <v>Normal</v>
      </c>
      <c r="E1037">
        <v>3</v>
      </c>
      <c r="F1037" t="s">
        <v>11</v>
      </c>
      <c r="G1037" t="s">
        <v>9</v>
      </c>
      <c r="H1037">
        <v>12094.477999999999</v>
      </c>
    </row>
    <row r="1038" spans="1:8" x14ac:dyDescent="0.3">
      <c r="A1038">
        <v>22</v>
      </c>
      <c r="B1038" t="s">
        <v>10</v>
      </c>
      <c r="C1038">
        <v>37.07</v>
      </c>
      <c r="D1038" t="str">
        <f t="shared" si="16"/>
        <v>Obese</v>
      </c>
      <c r="E1038">
        <v>2</v>
      </c>
      <c r="F1038" t="s">
        <v>8</v>
      </c>
      <c r="G1038" t="s">
        <v>12</v>
      </c>
      <c r="H1038">
        <v>37484.4493</v>
      </c>
    </row>
    <row r="1039" spans="1:8" x14ac:dyDescent="0.3">
      <c r="A1039">
        <v>45</v>
      </c>
      <c r="B1039" t="s">
        <v>7</v>
      </c>
      <c r="C1039">
        <v>30.495000000000001</v>
      </c>
      <c r="D1039" t="str">
        <f t="shared" si="16"/>
        <v>Obese</v>
      </c>
      <c r="E1039">
        <v>1</v>
      </c>
      <c r="F1039" t="s">
        <v>8</v>
      </c>
      <c r="G1039" t="s">
        <v>13</v>
      </c>
      <c r="H1039">
        <v>39725.518049999999</v>
      </c>
    </row>
    <row r="1040" spans="1:8" x14ac:dyDescent="0.3">
      <c r="A1040">
        <v>22</v>
      </c>
      <c r="B1040" t="s">
        <v>10</v>
      </c>
      <c r="C1040">
        <v>28.88</v>
      </c>
      <c r="D1040" t="str">
        <f t="shared" si="16"/>
        <v>Overweight</v>
      </c>
      <c r="E1040">
        <v>0</v>
      </c>
      <c r="F1040" t="s">
        <v>11</v>
      </c>
      <c r="G1040" t="s">
        <v>14</v>
      </c>
      <c r="H1040">
        <v>2250.8352</v>
      </c>
    </row>
    <row r="1041" spans="1:8" x14ac:dyDescent="0.3">
      <c r="A1041">
        <v>19</v>
      </c>
      <c r="B1041" t="s">
        <v>10</v>
      </c>
      <c r="C1041">
        <v>27.265000000000001</v>
      </c>
      <c r="D1041" t="str">
        <f t="shared" si="16"/>
        <v>Overweight</v>
      </c>
      <c r="E1041">
        <v>2</v>
      </c>
      <c r="F1041" t="s">
        <v>11</v>
      </c>
      <c r="G1041" t="s">
        <v>13</v>
      </c>
      <c r="H1041">
        <v>22493.659640000002</v>
      </c>
    </row>
    <row r="1042" spans="1:8" x14ac:dyDescent="0.3">
      <c r="A1042">
        <v>35</v>
      </c>
      <c r="B1042" t="s">
        <v>7</v>
      </c>
      <c r="C1042">
        <v>28.024999999999999</v>
      </c>
      <c r="D1042" t="str">
        <f t="shared" si="16"/>
        <v>Overweight</v>
      </c>
      <c r="E1042">
        <v>0</v>
      </c>
      <c r="F1042" t="s">
        <v>8</v>
      </c>
      <c r="G1042" t="s">
        <v>13</v>
      </c>
      <c r="H1042">
        <v>20234.854749999999</v>
      </c>
    </row>
    <row r="1043" spans="1:8" x14ac:dyDescent="0.3">
      <c r="A1043">
        <v>18</v>
      </c>
      <c r="B1043" t="s">
        <v>10</v>
      </c>
      <c r="C1043">
        <v>23.085000000000001</v>
      </c>
      <c r="D1043" t="str">
        <f t="shared" si="16"/>
        <v>Normal</v>
      </c>
      <c r="E1043">
        <v>0</v>
      </c>
      <c r="F1043" t="s">
        <v>11</v>
      </c>
      <c r="G1043" t="s">
        <v>14</v>
      </c>
      <c r="H1043">
        <v>1704.7001499999999</v>
      </c>
    </row>
    <row r="1044" spans="1:8" x14ac:dyDescent="0.3">
      <c r="A1044">
        <v>20</v>
      </c>
      <c r="B1044" t="s">
        <v>10</v>
      </c>
      <c r="C1044">
        <v>30.684999999999999</v>
      </c>
      <c r="D1044" t="str">
        <f t="shared" si="16"/>
        <v>Obese</v>
      </c>
      <c r="E1044">
        <v>0</v>
      </c>
      <c r="F1044" t="s">
        <v>8</v>
      </c>
      <c r="G1044" t="s">
        <v>14</v>
      </c>
      <c r="H1044">
        <v>33475.817150000003</v>
      </c>
    </row>
    <row r="1045" spans="1:8" x14ac:dyDescent="0.3">
      <c r="A1045">
        <v>28</v>
      </c>
      <c r="B1045" t="s">
        <v>7</v>
      </c>
      <c r="C1045">
        <v>25.8</v>
      </c>
      <c r="D1045" t="str">
        <f t="shared" ref="D1045:D1108" si="17">IF(C1045&lt;18.5,"Underweight",IF(C1045&lt;24.9,"Normal",IF(C1045&lt;30,"Overweight","Obese")))</f>
        <v>Overweight</v>
      </c>
      <c r="E1045">
        <v>0</v>
      </c>
      <c r="F1045" t="s">
        <v>11</v>
      </c>
      <c r="G1045" t="s">
        <v>9</v>
      </c>
      <c r="H1045">
        <v>3161.4540000000002</v>
      </c>
    </row>
    <row r="1046" spans="1:8" x14ac:dyDescent="0.3">
      <c r="A1046">
        <v>55</v>
      </c>
      <c r="B1046" t="s">
        <v>10</v>
      </c>
      <c r="C1046">
        <v>35.244999999999997</v>
      </c>
      <c r="D1046" t="str">
        <f t="shared" si="17"/>
        <v>Obese</v>
      </c>
      <c r="E1046">
        <v>1</v>
      </c>
      <c r="F1046" t="s">
        <v>11</v>
      </c>
      <c r="G1046" t="s">
        <v>14</v>
      </c>
      <c r="H1046">
        <v>11394.065549999999</v>
      </c>
    </row>
    <row r="1047" spans="1:8" x14ac:dyDescent="0.3">
      <c r="A1047">
        <v>43</v>
      </c>
      <c r="B1047" t="s">
        <v>7</v>
      </c>
      <c r="C1047">
        <v>24.7</v>
      </c>
      <c r="D1047" t="str">
        <f t="shared" si="17"/>
        <v>Normal</v>
      </c>
      <c r="E1047">
        <v>2</v>
      </c>
      <c r="F1047" t="s">
        <v>8</v>
      </c>
      <c r="G1047" t="s">
        <v>13</v>
      </c>
      <c r="H1047">
        <v>21880.82</v>
      </c>
    </row>
    <row r="1048" spans="1:8" x14ac:dyDescent="0.3">
      <c r="A1048">
        <v>43</v>
      </c>
      <c r="B1048" t="s">
        <v>7</v>
      </c>
      <c r="C1048">
        <v>25.08</v>
      </c>
      <c r="D1048" t="str">
        <f t="shared" si="17"/>
        <v>Overweight</v>
      </c>
      <c r="E1048">
        <v>0</v>
      </c>
      <c r="F1048" t="s">
        <v>11</v>
      </c>
      <c r="G1048" t="s">
        <v>14</v>
      </c>
      <c r="H1048">
        <v>7325.0482000000002</v>
      </c>
    </row>
    <row r="1049" spans="1:8" x14ac:dyDescent="0.3">
      <c r="A1049">
        <v>22</v>
      </c>
      <c r="B1049" t="s">
        <v>10</v>
      </c>
      <c r="C1049">
        <v>52.58</v>
      </c>
      <c r="D1049" t="str">
        <f t="shared" si="17"/>
        <v>Obese</v>
      </c>
      <c r="E1049">
        <v>1</v>
      </c>
      <c r="F1049" t="s">
        <v>8</v>
      </c>
      <c r="G1049" t="s">
        <v>12</v>
      </c>
      <c r="H1049">
        <v>44501.398200000003</v>
      </c>
    </row>
    <row r="1050" spans="1:8" x14ac:dyDescent="0.3">
      <c r="A1050">
        <v>25</v>
      </c>
      <c r="B1050" t="s">
        <v>7</v>
      </c>
      <c r="C1050">
        <v>22.515000000000001</v>
      </c>
      <c r="D1050" t="str">
        <f t="shared" si="17"/>
        <v>Normal</v>
      </c>
      <c r="E1050">
        <v>1</v>
      </c>
      <c r="F1050" t="s">
        <v>11</v>
      </c>
      <c r="G1050" t="s">
        <v>13</v>
      </c>
      <c r="H1050">
        <v>3594.17085</v>
      </c>
    </row>
    <row r="1051" spans="1:8" x14ac:dyDescent="0.3">
      <c r="A1051">
        <v>49</v>
      </c>
      <c r="B1051" t="s">
        <v>10</v>
      </c>
      <c r="C1051">
        <v>30.9</v>
      </c>
      <c r="D1051" t="str">
        <f t="shared" si="17"/>
        <v>Obese</v>
      </c>
      <c r="E1051">
        <v>0</v>
      </c>
      <c r="F1051" t="s">
        <v>8</v>
      </c>
      <c r="G1051" t="s">
        <v>9</v>
      </c>
      <c r="H1051">
        <v>39727.614000000001</v>
      </c>
    </row>
    <row r="1052" spans="1:8" x14ac:dyDescent="0.3">
      <c r="A1052">
        <v>44</v>
      </c>
      <c r="B1052" t="s">
        <v>7</v>
      </c>
      <c r="C1052">
        <v>36.954999999999998</v>
      </c>
      <c r="D1052" t="str">
        <f t="shared" si="17"/>
        <v>Obese</v>
      </c>
      <c r="E1052">
        <v>1</v>
      </c>
      <c r="F1052" t="s">
        <v>11</v>
      </c>
      <c r="G1052" t="s">
        <v>13</v>
      </c>
      <c r="H1052">
        <v>8023.1354499999998</v>
      </c>
    </row>
    <row r="1053" spans="1:8" x14ac:dyDescent="0.3">
      <c r="A1053">
        <v>64</v>
      </c>
      <c r="B1053" t="s">
        <v>10</v>
      </c>
      <c r="C1053">
        <v>26.41</v>
      </c>
      <c r="D1053" t="str">
        <f t="shared" si="17"/>
        <v>Overweight</v>
      </c>
      <c r="E1053">
        <v>0</v>
      </c>
      <c r="F1053" t="s">
        <v>11</v>
      </c>
      <c r="G1053" t="s">
        <v>14</v>
      </c>
      <c r="H1053">
        <v>14394.5579</v>
      </c>
    </row>
    <row r="1054" spans="1:8" x14ac:dyDescent="0.3">
      <c r="A1054">
        <v>49</v>
      </c>
      <c r="B1054" t="s">
        <v>10</v>
      </c>
      <c r="C1054">
        <v>29.83</v>
      </c>
      <c r="D1054" t="str">
        <f t="shared" si="17"/>
        <v>Overweight</v>
      </c>
      <c r="E1054">
        <v>1</v>
      </c>
      <c r="F1054" t="s">
        <v>11</v>
      </c>
      <c r="G1054" t="s">
        <v>14</v>
      </c>
      <c r="H1054">
        <v>9288.0267000000003</v>
      </c>
    </row>
    <row r="1055" spans="1:8" x14ac:dyDescent="0.3">
      <c r="A1055">
        <v>47</v>
      </c>
      <c r="B1055" t="s">
        <v>10</v>
      </c>
      <c r="C1055">
        <v>29.8</v>
      </c>
      <c r="D1055" t="str">
        <f t="shared" si="17"/>
        <v>Overweight</v>
      </c>
      <c r="E1055">
        <v>3</v>
      </c>
      <c r="F1055" t="s">
        <v>8</v>
      </c>
      <c r="G1055" t="s">
        <v>9</v>
      </c>
      <c r="H1055">
        <v>25309.489000000001</v>
      </c>
    </row>
    <row r="1056" spans="1:8" x14ac:dyDescent="0.3">
      <c r="A1056">
        <v>27</v>
      </c>
      <c r="B1056" t="s">
        <v>7</v>
      </c>
      <c r="C1056">
        <v>21.47</v>
      </c>
      <c r="D1056" t="str">
        <f t="shared" si="17"/>
        <v>Normal</v>
      </c>
      <c r="E1056">
        <v>0</v>
      </c>
      <c r="F1056" t="s">
        <v>11</v>
      </c>
      <c r="G1056" t="s">
        <v>13</v>
      </c>
      <c r="H1056">
        <v>3353.4703</v>
      </c>
    </row>
    <row r="1057" spans="1:8" x14ac:dyDescent="0.3">
      <c r="A1057">
        <v>55</v>
      </c>
      <c r="B1057" t="s">
        <v>10</v>
      </c>
      <c r="C1057">
        <v>27.645</v>
      </c>
      <c r="D1057" t="str">
        <f t="shared" si="17"/>
        <v>Overweight</v>
      </c>
      <c r="E1057">
        <v>0</v>
      </c>
      <c r="F1057" t="s">
        <v>11</v>
      </c>
      <c r="G1057" t="s">
        <v>13</v>
      </c>
      <c r="H1057">
        <v>10594.501550000001</v>
      </c>
    </row>
    <row r="1058" spans="1:8" x14ac:dyDescent="0.3">
      <c r="A1058">
        <v>48</v>
      </c>
      <c r="B1058" t="s">
        <v>7</v>
      </c>
      <c r="C1058">
        <v>28.9</v>
      </c>
      <c r="D1058" t="str">
        <f t="shared" si="17"/>
        <v>Overweight</v>
      </c>
      <c r="E1058">
        <v>0</v>
      </c>
      <c r="F1058" t="s">
        <v>11</v>
      </c>
      <c r="G1058" t="s">
        <v>9</v>
      </c>
      <c r="H1058">
        <v>8277.5229999999992</v>
      </c>
    </row>
    <row r="1059" spans="1:8" x14ac:dyDescent="0.3">
      <c r="A1059">
        <v>45</v>
      </c>
      <c r="B1059" t="s">
        <v>7</v>
      </c>
      <c r="C1059">
        <v>31.79</v>
      </c>
      <c r="D1059" t="str">
        <f t="shared" si="17"/>
        <v>Obese</v>
      </c>
      <c r="E1059">
        <v>0</v>
      </c>
      <c r="F1059" t="s">
        <v>11</v>
      </c>
      <c r="G1059" t="s">
        <v>12</v>
      </c>
      <c r="H1059">
        <v>17929.303370000001</v>
      </c>
    </row>
    <row r="1060" spans="1:8" x14ac:dyDescent="0.3">
      <c r="A1060">
        <v>24</v>
      </c>
      <c r="B1060" t="s">
        <v>7</v>
      </c>
      <c r="C1060">
        <v>39.49</v>
      </c>
      <c r="D1060" t="str">
        <f t="shared" si="17"/>
        <v>Obese</v>
      </c>
      <c r="E1060">
        <v>0</v>
      </c>
      <c r="F1060" t="s">
        <v>11</v>
      </c>
      <c r="G1060" t="s">
        <v>12</v>
      </c>
      <c r="H1060">
        <v>2480.9791</v>
      </c>
    </row>
    <row r="1061" spans="1:8" x14ac:dyDescent="0.3">
      <c r="A1061">
        <v>32</v>
      </c>
      <c r="B1061" t="s">
        <v>10</v>
      </c>
      <c r="C1061">
        <v>33.82</v>
      </c>
      <c r="D1061" t="str">
        <f t="shared" si="17"/>
        <v>Obese</v>
      </c>
      <c r="E1061">
        <v>1</v>
      </c>
      <c r="F1061" t="s">
        <v>11</v>
      </c>
      <c r="G1061" t="s">
        <v>13</v>
      </c>
      <c r="H1061">
        <v>4462.7218000000003</v>
      </c>
    </row>
    <row r="1062" spans="1:8" x14ac:dyDescent="0.3">
      <c r="A1062">
        <v>24</v>
      </c>
      <c r="B1062" t="s">
        <v>10</v>
      </c>
      <c r="C1062">
        <v>32.01</v>
      </c>
      <c r="D1062" t="str">
        <f t="shared" si="17"/>
        <v>Obese</v>
      </c>
      <c r="E1062">
        <v>0</v>
      </c>
      <c r="F1062" t="s">
        <v>11</v>
      </c>
      <c r="G1062" t="s">
        <v>12</v>
      </c>
      <c r="H1062">
        <v>1981.5818999999999</v>
      </c>
    </row>
    <row r="1063" spans="1:8" x14ac:dyDescent="0.3">
      <c r="A1063">
        <v>57</v>
      </c>
      <c r="B1063" t="s">
        <v>10</v>
      </c>
      <c r="C1063">
        <v>27.94</v>
      </c>
      <c r="D1063" t="str">
        <f t="shared" si="17"/>
        <v>Overweight</v>
      </c>
      <c r="E1063">
        <v>1</v>
      </c>
      <c r="F1063" t="s">
        <v>11</v>
      </c>
      <c r="G1063" t="s">
        <v>12</v>
      </c>
      <c r="H1063">
        <v>11554.223599999999</v>
      </c>
    </row>
    <row r="1064" spans="1:8" x14ac:dyDescent="0.3">
      <c r="A1064">
        <v>59</v>
      </c>
      <c r="B1064" t="s">
        <v>10</v>
      </c>
      <c r="C1064">
        <v>41.14</v>
      </c>
      <c r="D1064" t="str">
        <f t="shared" si="17"/>
        <v>Obese</v>
      </c>
      <c r="E1064">
        <v>1</v>
      </c>
      <c r="F1064" t="s">
        <v>8</v>
      </c>
      <c r="G1064" t="s">
        <v>12</v>
      </c>
      <c r="H1064">
        <v>48970.247600000002</v>
      </c>
    </row>
    <row r="1065" spans="1:8" x14ac:dyDescent="0.3">
      <c r="A1065">
        <v>36</v>
      </c>
      <c r="B1065" t="s">
        <v>10</v>
      </c>
      <c r="C1065">
        <v>28.594999999999999</v>
      </c>
      <c r="D1065" t="str">
        <f t="shared" si="17"/>
        <v>Overweight</v>
      </c>
      <c r="E1065">
        <v>3</v>
      </c>
      <c r="F1065" t="s">
        <v>11</v>
      </c>
      <c r="G1065" t="s">
        <v>13</v>
      </c>
      <c r="H1065">
        <v>6548.1950500000003</v>
      </c>
    </row>
    <row r="1066" spans="1:8" x14ac:dyDescent="0.3">
      <c r="A1066">
        <v>29</v>
      </c>
      <c r="B1066" t="s">
        <v>7</v>
      </c>
      <c r="C1066">
        <v>25.6</v>
      </c>
      <c r="D1066" t="str">
        <f t="shared" si="17"/>
        <v>Overweight</v>
      </c>
      <c r="E1066">
        <v>4</v>
      </c>
      <c r="F1066" t="s">
        <v>11</v>
      </c>
      <c r="G1066" t="s">
        <v>9</v>
      </c>
      <c r="H1066">
        <v>5708.8670000000002</v>
      </c>
    </row>
    <row r="1067" spans="1:8" x14ac:dyDescent="0.3">
      <c r="A1067">
        <v>42</v>
      </c>
      <c r="B1067" t="s">
        <v>7</v>
      </c>
      <c r="C1067">
        <v>25.3</v>
      </c>
      <c r="D1067" t="str">
        <f t="shared" si="17"/>
        <v>Overweight</v>
      </c>
      <c r="E1067">
        <v>1</v>
      </c>
      <c r="F1067" t="s">
        <v>11</v>
      </c>
      <c r="G1067" t="s">
        <v>9</v>
      </c>
      <c r="H1067">
        <v>7045.4989999999998</v>
      </c>
    </row>
    <row r="1068" spans="1:8" x14ac:dyDescent="0.3">
      <c r="A1068">
        <v>48</v>
      </c>
      <c r="B1068" t="s">
        <v>10</v>
      </c>
      <c r="C1068">
        <v>37.29</v>
      </c>
      <c r="D1068" t="str">
        <f t="shared" si="17"/>
        <v>Obese</v>
      </c>
      <c r="E1068">
        <v>2</v>
      </c>
      <c r="F1068" t="s">
        <v>11</v>
      </c>
      <c r="G1068" t="s">
        <v>12</v>
      </c>
      <c r="H1068">
        <v>8978.1851000000006</v>
      </c>
    </row>
    <row r="1069" spans="1:8" x14ac:dyDescent="0.3">
      <c r="A1069">
        <v>39</v>
      </c>
      <c r="B1069" t="s">
        <v>10</v>
      </c>
      <c r="C1069">
        <v>42.655000000000001</v>
      </c>
      <c r="D1069" t="str">
        <f t="shared" si="17"/>
        <v>Obese</v>
      </c>
      <c r="E1069">
        <v>0</v>
      </c>
      <c r="F1069" t="s">
        <v>11</v>
      </c>
      <c r="G1069" t="s">
        <v>14</v>
      </c>
      <c r="H1069">
        <v>5757.41345</v>
      </c>
    </row>
    <row r="1070" spans="1:8" x14ac:dyDescent="0.3">
      <c r="A1070">
        <v>63</v>
      </c>
      <c r="B1070" t="s">
        <v>10</v>
      </c>
      <c r="C1070">
        <v>21.66</v>
      </c>
      <c r="D1070" t="str">
        <f t="shared" si="17"/>
        <v>Normal</v>
      </c>
      <c r="E1070">
        <v>1</v>
      </c>
      <c r="F1070" t="s">
        <v>11</v>
      </c>
      <c r="G1070" t="s">
        <v>13</v>
      </c>
      <c r="H1070">
        <v>14349.8544</v>
      </c>
    </row>
    <row r="1071" spans="1:8" x14ac:dyDescent="0.3">
      <c r="A1071">
        <v>54</v>
      </c>
      <c r="B1071" t="s">
        <v>7</v>
      </c>
      <c r="C1071">
        <v>31.9</v>
      </c>
      <c r="D1071" t="str">
        <f t="shared" si="17"/>
        <v>Obese</v>
      </c>
      <c r="E1071">
        <v>1</v>
      </c>
      <c r="F1071" t="s">
        <v>11</v>
      </c>
      <c r="G1071" t="s">
        <v>12</v>
      </c>
      <c r="H1071">
        <v>10928.849</v>
      </c>
    </row>
    <row r="1072" spans="1:8" x14ac:dyDescent="0.3">
      <c r="A1072">
        <v>37</v>
      </c>
      <c r="B1072" t="s">
        <v>10</v>
      </c>
      <c r="C1072">
        <v>37.07</v>
      </c>
      <c r="D1072" t="str">
        <f t="shared" si="17"/>
        <v>Obese</v>
      </c>
      <c r="E1072">
        <v>1</v>
      </c>
      <c r="F1072" t="s">
        <v>8</v>
      </c>
      <c r="G1072" t="s">
        <v>12</v>
      </c>
      <c r="H1072">
        <v>39871.704299999998</v>
      </c>
    </row>
    <row r="1073" spans="1:8" x14ac:dyDescent="0.3">
      <c r="A1073">
        <v>63</v>
      </c>
      <c r="B1073" t="s">
        <v>10</v>
      </c>
      <c r="C1073">
        <v>31.445</v>
      </c>
      <c r="D1073" t="str">
        <f t="shared" si="17"/>
        <v>Obese</v>
      </c>
      <c r="E1073">
        <v>0</v>
      </c>
      <c r="F1073" t="s">
        <v>11</v>
      </c>
      <c r="G1073" t="s">
        <v>14</v>
      </c>
      <c r="H1073">
        <v>13974.455550000001</v>
      </c>
    </row>
    <row r="1074" spans="1:8" x14ac:dyDescent="0.3">
      <c r="A1074">
        <v>21</v>
      </c>
      <c r="B1074" t="s">
        <v>10</v>
      </c>
      <c r="C1074">
        <v>31.254999999999999</v>
      </c>
      <c r="D1074" t="str">
        <f t="shared" si="17"/>
        <v>Obese</v>
      </c>
      <c r="E1074">
        <v>0</v>
      </c>
      <c r="F1074" t="s">
        <v>11</v>
      </c>
      <c r="G1074" t="s">
        <v>13</v>
      </c>
      <c r="H1074">
        <v>1909.52745</v>
      </c>
    </row>
    <row r="1075" spans="1:8" x14ac:dyDescent="0.3">
      <c r="A1075">
        <v>54</v>
      </c>
      <c r="B1075" t="s">
        <v>7</v>
      </c>
      <c r="C1075">
        <v>28.88</v>
      </c>
      <c r="D1075" t="str">
        <f t="shared" si="17"/>
        <v>Overweight</v>
      </c>
      <c r="E1075">
        <v>2</v>
      </c>
      <c r="F1075" t="s">
        <v>11</v>
      </c>
      <c r="G1075" t="s">
        <v>14</v>
      </c>
      <c r="H1075">
        <v>12096.6512</v>
      </c>
    </row>
    <row r="1076" spans="1:8" x14ac:dyDescent="0.3">
      <c r="A1076">
        <v>60</v>
      </c>
      <c r="B1076" t="s">
        <v>7</v>
      </c>
      <c r="C1076">
        <v>18.335000000000001</v>
      </c>
      <c r="D1076" t="str">
        <f t="shared" si="17"/>
        <v>Underweight</v>
      </c>
      <c r="E1076">
        <v>0</v>
      </c>
      <c r="F1076" t="s">
        <v>11</v>
      </c>
      <c r="G1076" t="s">
        <v>14</v>
      </c>
      <c r="H1076">
        <v>13204.28565</v>
      </c>
    </row>
    <row r="1077" spans="1:8" x14ac:dyDescent="0.3">
      <c r="A1077">
        <v>32</v>
      </c>
      <c r="B1077" t="s">
        <v>7</v>
      </c>
      <c r="C1077">
        <v>29.59</v>
      </c>
      <c r="D1077" t="str">
        <f t="shared" si="17"/>
        <v>Overweight</v>
      </c>
      <c r="E1077">
        <v>1</v>
      </c>
      <c r="F1077" t="s">
        <v>11</v>
      </c>
      <c r="G1077" t="s">
        <v>12</v>
      </c>
      <c r="H1077">
        <v>4562.8420999999998</v>
      </c>
    </row>
    <row r="1078" spans="1:8" x14ac:dyDescent="0.3">
      <c r="A1078">
        <v>47</v>
      </c>
      <c r="B1078" t="s">
        <v>7</v>
      </c>
      <c r="C1078">
        <v>32</v>
      </c>
      <c r="D1078" t="str">
        <f t="shared" si="17"/>
        <v>Obese</v>
      </c>
      <c r="E1078">
        <v>1</v>
      </c>
      <c r="F1078" t="s">
        <v>11</v>
      </c>
      <c r="G1078" t="s">
        <v>9</v>
      </c>
      <c r="H1078">
        <v>8551.3469999999998</v>
      </c>
    </row>
    <row r="1079" spans="1:8" x14ac:dyDescent="0.3">
      <c r="A1079">
        <v>21</v>
      </c>
      <c r="B1079" t="s">
        <v>10</v>
      </c>
      <c r="C1079">
        <v>26.03</v>
      </c>
      <c r="D1079" t="str">
        <f t="shared" si="17"/>
        <v>Overweight</v>
      </c>
      <c r="E1079">
        <v>0</v>
      </c>
      <c r="F1079" t="s">
        <v>11</v>
      </c>
      <c r="G1079" t="s">
        <v>14</v>
      </c>
      <c r="H1079">
        <v>2102.2647000000002</v>
      </c>
    </row>
    <row r="1080" spans="1:8" x14ac:dyDescent="0.3">
      <c r="A1080">
        <v>28</v>
      </c>
      <c r="B1080" t="s">
        <v>10</v>
      </c>
      <c r="C1080">
        <v>31.68</v>
      </c>
      <c r="D1080" t="str">
        <f t="shared" si="17"/>
        <v>Obese</v>
      </c>
      <c r="E1080">
        <v>0</v>
      </c>
      <c r="F1080" t="s">
        <v>8</v>
      </c>
      <c r="G1080" t="s">
        <v>12</v>
      </c>
      <c r="H1080">
        <v>34672.147199999999</v>
      </c>
    </row>
    <row r="1081" spans="1:8" x14ac:dyDescent="0.3">
      <c r="A1081">
        <v>63</v>
      </c>
      <c r="B1081" t="s">
        <v>10</v>
      </c>
      <c r="C1081">
        <v>33.659999999999997</v>
      </c>
      <c r="D1081" t="str">
        <f t="shared" si="17"/>
        <v>Obese</v>
      </c>
      <c r="E1081">
        <v>3</v>
      </c>
      <c r="F1081" t="s">
        <v>11</v>
      </c>
      <c r="G1081" t="s">
        <v>12</v>
      </c>
      <c r="H1081">
        <v>15161.5344</v>
      </c>
    </row>
    <row r="1082" spans="1:8" x14ac:dyDescent="0.3">
      <c r="A1082">
        <v>18</v>
      </c>
      <c r="B1082" t="s">
        <v>10</v>
      </c>
      <c r="C1082">
        <v>21.78</v>
      </c>
      <c r="D1082" t="str">
        <f t="shared" si="17"/>
        <v>Normal</v>
      </c>
      <c r="E1082">
        <v>2</v>
      </c>
      <c r="F1082" t="s">
        <v>11</v>
      </c>
      <c r="G1082" t="s">
        <v>12</v>
      </c>
      <c r="H1082">
        <v>11884.048580000001</v>
      </c>
    </row>
    <row r="1083" spans="1:8" x14ac:dyDescent="0.3">
      <c r="A1083">
        <v>32</v>
      </c>
      <c r="B1083" t="s">
        <v>10</v>
      </c>
      <c r="C1083">
        <v>27.835000000000001</v>
      </c>
      <c r="D1083" t="str">
        <f t="shared" si="17"/>
        <v>Overweight</v>
      </c>
      <c r="E1083">
        <v>1</v>
      </c>
      <c r="F1083" t="s">
        <v>11</v>
      </c>
      <c r="G1083" t="s">
        <v>13</v>
      </c>
      <c r="H1083">
        <v>4454.40265</v>
      </c>
    </row>
    <row r="1084" spans="1:8" x14ac:dyDescent="0.3">
      <c r="A1084">
        <v>38</v>
      </c>
      <c r="B1084" t="s">
        <v>10</v>
      </c>
      <c r="C1084">
        <v>19.95</v>
      </c>
      <c r="D1084" t="str">
        <f t="shared" si="17"/>
        <v>Normal</v>
      </c>
      <c r="E1084">
        <v>1</v>
      </c>
      <c r="F1084" t="s">
        <v>11</v>
      </c>
      <c r="G1084" t="s">
        <v>13</v>
      </c>
      <c r="H1084">
        <v>5855.9025000000001</v>
      </c>
    </row>
    <row r="1085" spans="1:8" x14ac:dyDescent="0.3">
      <c r="A1085">
        <v>32</v>
      </c>
      <c r="B1085" t="s">
        <v>10</v>
      </c>
      <c r="C1085">
        <v>31.5</v>
      </c>
      <c r="D1085" t="str">
        <f t="shared" si="17"/>
        <v>Obese</v>
      </c>
      <c r="E1085">
        <v>1</v>
      </c>
      <c r="F1085" t="s">
        <v>11</v>
      </c>
      <c r="G1085" t="s">
        <v>9</v>
      </c>
      <c r="H1085">
        <v>4076.4969999999998</v>
      </c>
    </row>
    <row r="1086" spans="1:8" x14ac:dyDescent="0.3">
      <c r="A1086">
        <v>62</v>
      </c>
      <c r="B1086" t="s">
        <v>7</v>
      </c>
      <c r="C1086">
        <v>30.495000000000001</v>
      </c>
      <c r="D1086" t="str">
        <f t="shared" si="17"/>
        <v>Obese</v>
      </c>
      <c r="E1086">
        <v>2</v>
      </c>
      <c r="F1086" t="s">
        <v>11</v>
      </c>
      <c r="G1086" t="s">
        <v>13</v>
      </c>
      <c r="H1086">
        <v>15019.760050000001</v>
      </c>
    </row>
    <row r="1087" spans="1:8" x14ac:dyDescent="0.3">
      <c r="A1087">
        <v>39</v>
      </c>
      <c r="B1087" t="s">
        <v>7</v>
      </c>
      <c r="C1087">
        <v>18.3</v>
      </c>
      <c r="D1087" t="str">
        <f t="shared" si="17"/>
        <v>Underweight</v>
      </c>
      <c r="E1087">
        <v>5</v>
      </c>
      <c r="F1087" t="s">
        <v>8</v>
      </c>
      <c r="G1087" t="s">
        <v>9</v>
      </c>
      <c r="H1087">
        <v>19023.259999999998</v>
      </c>
    </row>
    <row r="1088" spans="1:8" x14ac:dyDescent="0.3">
      <c r="A1088">
        <v>55</v>
      </c>
      <c r="B1088" t="s">
        <v>10</v>
      </c>
      <c r="C1088">
        <v>28.975000000000001</v>
      </c>
      <c r="D1088" t="str">
        <f t="shared" si="17"/>
        <v>Overweight</v>
      </c>
      <c r="E1088">
        <v>0</v>
      </c>
      <c r="F1088" t="s">
        <v>11</v>
      </c>
      <c r="G1088" t="s">
        <v>14</v>
      </c>
      <c r="H1088">
        <v>10796.35025</v>
      </c>
    </row>
    <row r="1089" spans="1:8" x14ac:dyDescent="0.3">
      <c r="A1089">
        <v>57</v>
      </c>
      <c r="B1089" t="s">
        <v>10</v>
      </c>
      <c r="C1089">
        <v>31.54</v>
      </c>
      <c r="D1089" t="str">
        <f t="shared" si="17"/>
        <v>Obese</v>
      </c>
      <c r="E1089">
        <v>0</v>
      </c>
      <c r="F1089" t="s">
        <v>11</v>
      </c>
      <c r="G1089" t="s">
        <v>13</v>
      </c>
      <c r="H1089">
        <v>11353.2276</v>
      </c>
    </row>
    <row r="1090" spans="1:8" x14ac:dyDescent="0.3">
      <c r="A1090">
        <v>52</v>
      </c>
      <c r="B1090" t="s">
        <v>10</v>
      </c>
      <c r="C1090">
        <v>47.74</v>
      </c>
      <c r="D1090" t="str">
        <f t="shared" si="17"/>
        <v>Obese</v>
      </c>
      <c r="E1090">
        <v>1</v>
      </c>
      <c r="F1090" t="s">
        <v>11</v>
      </c>
      <c r="G1090" t="s">
        <v>12</v>
      </c>
      <c r="H1090">
        <v>9748.9105999999992</v>
      </c>
    </row>
    <row r="1091" spans="1:8" x14ac:dyDescent="0.3">
      <c r="A1091">
        <v>56</v>
      </c>
      <c r="B1091" t="s">
        <v>10</v>
      </c>
      <c r="C1091">
        <v>22.1</v>
      </c>
      <c r="D1091" t="str">
        <f t="shared" si="17"/>
        <v>Normal</v>
      </c>
      <c r="E1091">
        <v>0</v>
      </c>
      <c r="F1091" t="s">
        <v>11</v>
      </c>
      <c r="G1091" t="s">
        <v>9</v>
      </c>
      <c r="H1091">
        <v>10577.087</v>
      </c>
    </row>
    <row r="1092" spans="1:8" x14ac:dyDescent="0.3">
      <c r="A1092">
        <v>47</v>
      </c>
      <c r="B1092" t="s">
        <v>10</v>
      </c>
      <c r="C1092">
        <v>36.19</v>
      </c>
      <c r="D1092" t="str">
        <f t="shared" si="17"/>
        <v>Obese</v>
      </c>
      <c r="E1092">
        <v>0</v>
      </c>
      <c r="F1092" t="s">
        <v>8</v>
      </c>
      <c r="G1092" t="s">
        <v>12</v>
      </c>
      <c r="H1092">
        <v>41676.081100000003</v>
      </c>
    </row>
    <row r="1093" spans="1:8" x14ac:dyDescent="0.3">
      <c r="A1093">
        <v>55</v>
      </c>
      <c r="B1093" t="s">
        <v>7</v>
      </c>
      <c r="C1093">
        <v>29.83</v>
      </c>
      <c r="D1093" t="str">
        <f t="shared" si="17"/>
        <v>Overweight</v>
      </c>
      <c r="E1093">
        <v>0</v>
      </c>
      <c r="F1093" t="s">
        <v>11</v>
      </c>
      <c r="G1093" t="s">
        <v>14</v>
      </c>
      <c r="H1093">
        <v>11286.538699999999</v>
      </c>
    </row>
    <row r="1094" spans="1:8" x14ac:dyDescent="0.3">
      <c r="A1094">
        <v>23</v>
      </c>
      <c r="B1094" t="s">
        <v>10</v>
      </c>
      <c r="C1094">
        <v>32.700000000000003</v>
      </c>
      <c r="D1094" t="str">
        <f t="shared" si="17"/>
        <v>Obese</v>
      </c>
      <c r="E1094">
        <v>3</v>
      </c>
      <c r="F1094" t="s">
        <v>11</v>
      </c>
      <c r="G1094" t="s">
        <v>9</v>
      </c>
      <c r="H1094">
        <v>3591.48</v>
      </c>
    </row>
    <row r="1095" spans="1:8" x14ac:dyDescent="0.3">
      <c r="A1095">
        <v>22</v>
      </c>
      <c r="B1095" t="s">
        <v>7</v>
      </c>
      <c r="C1095">
        <v>30.4</v>
      </c>
      <c r="D1095" t="str">
        <f t="shared" si="17"/>
        <v>Obese</v>
      </c>
      <c r="E1095">
        <v>0</v>
      </c>
      <c r="F1095" t="s">
        <v>8</v>
      </c>
      <c r="G1095" t="s">
        <v>13</v>
      </c>
      <c r="H1095">
        <v>33907.548000000003</v>
      </c>
    </row>
    <row r="1096" spans="1:8" x14ac:dyDescent="0.3">
      <c r="A1096">
        <v>50</v>
      </c>
      <c r="B1096" t="s">
        <v>7</v>
      </c>
      <c r="C1096">
        <v>33.700000000000003</v>
      </c>
      <c r="D1096" t="str">
        <f t="shared" si="17"/>
        <v>Obese</v>
      </c>
      <c r="E1096">
        <v>4</v>
      </c>
      <c r="F1096" t="s">
        <v>11</v>
      </c>
      <c r="G1096" t="s">
        <v>9</v>
      </c>
      <c r="H1096">
        <v>11299.343000000001</v>
      </c>
    </row>
    <row r="1097" spans="1:8" x14ac:dyDescent="0.3">
      <c r="A1097">
        <v>18</v>
      </c>
      <c r="B1097" t="s">
        <v>7</v>
      </c>
      <c r="C1097">
        <v>31.35</v>
      </c>
      <c r="D1097" t="str">
        <f t="shared" si="17"/>
        <v>Obese</v>
      </c>
      <c r="E1097">
        <v>4</v>
      </c>
      <c r="F1097" t="s">
        <v>11</v>
      </c>
      <c r="G1097" t="s">
        <v>14</v>
      </c>
      <c r="H1097">
        <v>4561.1885000000002</v>
      </c>
    </row>
    <row r="1098" spans="1:8" x14ac:dyDescent="0.3">
      <c r="A1098">
        <v>51</v>
      </c>
      <c r="B1098" t="s">
        <v>7</v>
      </c>
      <c r="C1098">
        <v>34.96</v>
      </c>
      <c r="D1098" t="str">
        <f t="shared" si="17"/>
        <v>Obese</v>
      </c>
      <c r="E1098">
        <v>2</v>
      </c>
      <c r="F1098" t="s">
        <v>8</v>
      </c>
      <c r="G1098" t="s">
        <v>14</v>
      </c>
      <c r="H1098">
        <v>44641.197399999997</v>
      </c>
    </row>
    <row r="1099" spans="1:8" x14ac:dyDescent="0.3">
      <c r="A1099">
        <v>22</v>
      </c>
      <c r="B1099" t="s">
        <v>10</v>
      </c>
      <c r="C1099">
        <v>33.770000000000003</v>
      </c>
      <c r="D1099" t="str">
        <f t="shared" si="17"/>
        <v>Obese</v>
      </c>
      <c r="E1099">
        <v>0</v>
      </c>
      <c r="F1099" t="s">
        <v>11</v>
      </c>
      <c r="G1099" t="s">
        <v>12</v>
      </c>
      <c r="H1099">
        <v>1674.6323</v>
      </c>
    </row>
    <row r="1100" spans="1:8" x14ac:dyDescent="0.3">
      <c r="A1100">
        <v>52</v>
      </c>
      <c r="B1100" t="s">
        <v>7</v>
      </c>
      <c r="C1100">
        <v>30.875</v>
      </c>
      <c r="D1100" t="str">
        <f t="shared" si="17"/>
        <v>Obese</v>
      </c>
      <c r="E1100">
        <v>0</v>
      </c>
      <c r="F1100" t="s">
        <v>11</v>
      </c>
      <c r="G1100" t="s">
        <v>14</v>
      </c>
      <c r="H1100">
        <v>23045.566159999998</v>
      </c>
    </row>
    <row r="1101" spans="1:8" x14ac:dyDescent="0.3">
      <c r="A1101">
        <v>25</v>
      </c>
      <c r="B1101" t="s">
        <v>7</v>
      </c>
      <c r="C1101">
        <v>33.99</v>
      </c>
      <c r="D1101" t="str">
        <f t="shared" si="17"/>
        <v>Obese</v>
      </c>
      <c r="E1101">
        <v>1</v>
      </c>
      <c r="F1101" t="s">
        <v>11</v>
      </c>
      <c r="G1101" t="s">
        <v>12</v>
      </c>
      <c r="H1101">
        <v>3227.1210999999998</v>
      </c>
    </row>
    <row r="1102" spans="1:8" x14ac:dyDescent="0.3">
      <c r="A1102">
        <v>33</v>
      </c>
      <c r="B1102" t="s">
        <v>7</v>
      </c>
      <c r="C1102">
        <v>19.094999999999999</v>
      </c>
      <c r="D1102" t="str">
        <f t="shared" si="17"/>
        <v>Normal</v>
      </c>
      <c r="E1102">
        <v>2</v>
      </c>
      <c r="F1102" t="s">
        <v>8</v>
      </c>
      <c r="G1102" t="s">
        <v>14</v>
      </c>
      <c r="H1102">
        <v>16776.304049999999</v>
      </c>
    </row>
    <row r="1103" spans="1:8" x14ac:dyDescent="0.3">
      <c r="A1103">
        <v>53</v>
      </c>
      <c r="B1103" t="s">
        <v>10</v>
      </c>
      <c r="C1103">
        <v>28.6</v>
      </c>
      <c r="D1103" t="str">
        <f t="shared" si="17"/>
        <v>Overweight</v>
      </c>
      <c r="E1103">
        <v>3</v>
      </c>
      <c r="F1103" t="s">
        <v>11</v>
      </c>
      <c r="G1103" t="s">
        <v>9</v>
      </c>
      <c r="H1103">
        <v>11253.421</v>
      </c>
    </row>
    <row r="1104" spans="1:8" x14ac:dyDescent="0.3">
      <c r="A1104">
        <v>29</v>
      </c>
      <c r="B1104" t="s">
        <v>10</v>
      </c>
      <c r="C1104">
        <v>38.94</v>
      </c>
      <c r="D1104" t="str">
        <f t="shared" si="17"/>
        <v>Obese</v>
      </c>
      <c r="E1104">
        <v>1</v>
      </c>
      <c r="F1104" t="s">
        <v>11</v>
      </c>
      <c r="G1104" t="s">
        <v>12</v>
      </c>
      <c r="H1104">
        <v>3471.4096</v>
      </c>
    </row>
    <row r="1105" spans="1:8" x14ac:dyDescent="0.3">
      <c r="A1105">
        <v>58</v>
      </c>
      <c r="B1105" t="s">
        <v>10</v>
      </c>
      <c r="C1105">
        <v>36.08</v>
      </c>
      <c r="D1105" t="str">
        <f t="shared" si="17"/>
        <v>Obese</v>
      </c>
      <c r="E1105">
        <v>0</v>
      </c>
      <c r="F1105" t="s">
        <v>11</v>
      </c>
      <c r="G1105" t="s">
        <v>12</v>
      </c>
      <c r="H1105">
        <v>11363.2832</v>
      </c>
    </row>
    <row r="1106" spans="1:8" x14ac:dyDescent="0.3">
      <c r="A1106">
        <v>37</v>
      </c>
      <c r="B1106" t="s">
        <v>10</v>
      </c>
      <c r="C1106">
        <v>29.8</v>
      </c>
      <c r="D1106" t="str">
        <f t="shared" si="17"/>
        <v>Overweight</v>
      </c>
      <c r="E1106">
        <v>0</v>
      </c>
      <c r="F1106" t="s">
        <v>11</v>
      </c>
      <c r="G1106" t="s">
        <v>9</v>
      </c>
      <c r="H1106">
        <v>20420.604650000001</v>
      </c>
    </row>
    <row r="1107" spans="1:8" x14ac:dyDescent="0.3">
      <c r="A1107">
        <v>54</v>
      </c>
      <c r="B1107" t="s">
        <v>7</v>
      </c>
      <c r="C1107">
        <v>31.24</v>
      </c>
      <c r="D1107" t="str">
        <f t="shared" si="17"/>
        <v>Obese</v>
      </c>
      <c r="E1107">
        <v>0</v>
      </c>
      <c r="F1107" t="s">
        <v>11</v>
      </c>
      <c r="G1107" t="s">
        <v>12</v>
      </c>
      <c r="H1107">
        <v>10338.9316</v>
      </c>
    </row>
    <row r="1108" spans="1:8" x14ac:dyDescent="0.3">
      <c r="A1108">
        <v>49</v>
      </c>
      <c r="B1108" t="s">
        <v>7</v>
      </c>
      <c r="C1108">
        <v>29.925000000000001</v>
      </c>
      <c r="D1108" t="str">
        <f t="shared" si="17"/>
        <v>Overweight</v>
      </c>
      <c r="E1108">
        <v>0</v>
      </c>
      <c r="F1108" t="s">
        <v>11</v>
      </c>
      <c r="G1108" t="s">
        <v>13</v>
      </c>
      <c r="H1108">
        <v>8988.1587500000005</v>
      </c>
    </row>
    <row r="1109" spans="1:8" x14ac:dyDescent="0.3">
      <c r="A1109">
        <v>50</v>
      </c>
      <c r="B1109" t="s">
        <v>7</v>
      </c>
      <c r="C1109">
        <v>26.22</v>
      </c>
      <c r="D1109" t="str">
        <f t="shared" ref="D1109:D1172" si="18">IF(C1109&lt;18.5,"Underweight",IF(C1109&lt;24.9,"Normal",IF(C1109&lt;30,"Overweight","Obese")))</f>
        <v>Overweight</v>
      </c>
      <c r="E1109">
        <v>2</v>
      </c>
      <c r="F1109" t="s">
        <v>11</v>
      </c>
      <c r="G1109" t="s">
        <v>13</v>
      </c>
      <c r="H1109">
        <v>10493.9458</v>
      </c>
    </row>
    <row r="1110" spans="1:8" x14ac:dyDescent="0.3">
      <c r="A1110">
        <v>26</v>
      </c>
      <c r="B1110" t="s">
        <v>10</v>
      </c>
      <c r="C1110">
        <v>30</v>
      </c>
      <c r="D1110" t="str">
        <f t="shared" si="18"/>
        <v>Obese</v>
      </c>
      <c r="E1110">
        <v>1</v>
      </c>
      <c r="F1110" t="s">
        <v>11</v>
      </c>
      <c r="G1110" t="s">
        <v>9</v>
      </c>
      <c r="H1110">
        <v>2904.0880000000002</v>
      </c>
    </row>
    <row r="1111" spans="1:8" x14ac:dyDescent="0.3">
      <c r="A1111">
        <v>45</v>
      </c>
      <c r="B1111" t="s">
        <v>10</v>
      </c>
      <c r="C1111">
        <v>20.350000000000001</v>
      </c>
      <c r="D1111" t="str">
        <f t="shared" si="18"/>
        <v>Normal</v>
      </c>
      <c r="E1111">
        <v>3</v>
      </c>
      <c r="F1111" t="s">
        <v>11</v>
      </c>
      <c r="G1111" t="s">
        <v>12</v>
      </c>
      <c r="H1111">
        <v>8605.3615000000009</v>
      </c>
    </row>
    <row r="1112" spans="1:8" x14ac:dyDescent="0.3">
      <c r="A1112">
        <v>54</v>
      </c>
      <c r="B1112" t="s">
        <v>7</v>
      </c>
      <c r="C1112">
        <v>32.299999999999997</v>
      </c>
      <c r="D1112" t="str">
        <f t="shared" si="18"/>
        <v>Obese</v>
      </c>
      <c r="E1112">
        <v>1</v>
      </c>
      <c r="F1112" t="s">
        <v>11</v>
      </c>
      <c r="G1112" t="s">
        <v>14</v>
      </c>
      <c r="H1112">
        <v>11512.405000000001</v>
      </c>
    </row>
    <row r="1113" spans="1:8" x14ac:dyDescent="0.3">
      <c r="A1113">
        <v>38</v>
      </c>
      <c r="B1113" t="s">
        <v>10</v>
      </c>
      <c r="C1113">
        <v>38.39</v>
      </c>
      <c r="D1113" t="str">
        <f t="shared" si="18"/>
        <v>Obese</v>
      </c>
      <c r="E1113">
        <v>3</v>
      </c>
      <c r="F1113" t="s">
        <v>8</v>
      </c>
      <c r="G1113" t="s">
        <v>12</v>
      </c>
      <c r="H1113">
        <v>41949.244100000004</v>
      </c>
    </row>
    <row r="1114" spans="1:8" x14ac:dyDescent="0.3">
      <c r="A1114">
        <v>48</v>
      </c>
      <c r="B1114" t="s">
        <v>7</v>
      </c>
      <c r="C1114">
        <v>25.85</v>
      </c>
      <c r="D1114" t="str">
        <f t="shared" si="18"/>
        <v>Overweight</v>
      </c>
      <c r="E1114">
        <v>3</v>
      </c>
      <c r="F1114" t="s">
        <v>8</v>
      </c>
      <c r="G1114" t="s">
        <v>12</v>
      </c>
      <c r="H1114">
        <v>24180.933499999999</v>
      </c>
    </row>
    <row r="1115" spans="1:8" x14ac:dyDescent="0.3">
      <c r="A1115">
        <v>28</v>
      </c>
      <c r="B1115" t="s">
        <v>7</v>
      </c>
      <c r="C1115">
        <v>26.315000000000001</v>
      </c>
      <c r="D1115" t="str">
        <f t="shared" si="18"/>
        <v>Overweight</v>
      </c>
      <c r="E1115">
        <v>3</v>
      </c>
      <c r="F1115" t="s">
        <v>11</v>
      </c>
      <c r="G1115" t="s">
        <v>13</v>
      </c>
      <c r="H1115">
        <v>5312.1698500000002</v>
      </c>
    </row>
    <row r="1116" spans="1:8" x14ac:dyDescent="0.3">
      <c r="A1116">
        <v>23</v>
      </c>
      <c r="B1116" t="s">
        <v>10</v>
      </c>
      <c r="C1116">
        <v>24.51</v>
      </c>
      <c r="D1116" t="str">
        <f t="shared" si="18"/>
        <v>Normal</v>
      </c>
      <c r="E1116">
        <v>0</v>
      </c>
      <c r="F1116" t="s">
        <v>11</v>
      </c>
      <c r="G1116" t="s">
        <v>14</v>
      </c>
      <c r="H1116">
        <v>2396.0958999999998</v>
      </c>
    </row>
    <row r="1117" spans="1:8" x14ac:dyDescent="0.3">
      <c r="A1117">
        <v>55</v>
      </c>
      <c r="B1117" t="s">
        <v>10</v>
      </c>
      <c r="C1117">
        <v>32.67</v>
      </c>
      <c r="D1117" t="str">
        <f t="shared" si="18"/>
        <v>Obese</v>
      </c>
      <c r="E1117">
        <v>1</v>
      </c>
      <c r="F1117" t="s">
        <v>11</v>
      </c>
      <c r="G1117" t="s">
        <v>12</v>
      </c>
      <c r="H1117">
        <v>10807.4863</v>
      </c>
    </row>
    <row r="1118" spans="1:8" x14ac:dyDescent="0.3">
      <c r="A1118">
        <v>41</v>
      </c>
      <c r="B1118" t="s">
        <v>10</v>
      </c>
      <c r="C1118">
        <v>29.64</v>
      </c>
      <c r="D1118" t="str">
        <f t="shared" si="18"/>
        <v>Overweight</v>
      </c>
      <c r="E1118">
        <v>5</v>
      </c>
      <c r="F1118" t="s">
        <v>11</v>
      </c>
      <c r="G1118" t="s">
        <v>14</v>
      </c>
      <c r="H1118">
        <v>9222.4025999999994</v>
      </c>
    </row>
    <row r="1119" spans="1:8" x14ac:dyDescent="0.3">
      <c r="A1119">
        <v>25</v>
      </c>
      <c r="B1119" t="s">
        <v>10</v>
      </c>
      <c r="C1119">
        <v>33.33</v>
      </c>
      <c r="D1119" t="str">
        <f t="shared" si="18"/>
        <v>Obese</v>
      </c>
      <c r="E1119">
        <v>2</v>
      </c>
      <c r="F1119" t="s">
        <v>8</v>
      </c>
      <c r="G1119" t="s">
        <v>12</v>
      </c>
      <c r="H1119">
        <v>36124.573700000001</v>
      </c>
    </row>
    <row r="1120" spans="1:8" x14ac:dyDescent="0.3">
      <c r="A1120">
        <v>33</v>
      </c>
      <c r="B1120" t="s">
        <v>10</v>
      </c>
      <c r="C1120">
        <v>35.75</v>
      </c>
      <c r="D1120" t="str">
        <f t="shared" si="18"/>
        <v>Obese</v>
      </c>
      <c r="E1120">
        <v>1</v>
      </c>
      <c r="F1120" t="s">
        <v>8</v>
      </c>
      <c r="G1120" t="s">
        <v>12</v>
      </c>
      <c r="H1120">
        <v>38282.749499999998</v>
      </c>
    </row>
    <row r="1121" spans="1:8" x14ac:dyDescent="0.3">
      <c r="A1121">
        <v>30</v>
      </c>
      <c r="B1121" t="s">
        <v>7</v>
      </c>
      <c r="C1121">
        <v>19.95</v>
      </c>
      <c r="D1121" t="str">
        <f t="shared" si="18"/>
        <v>Normal</v>
      </c>
      <c r="E1121">
        <v>3</v>
      </c>
      <c r="F1121" t="s">
        <v>11</v>
      </c>
      <c r="G1121" t="s">
        <v>13</v>
      </c>
      <c r="H1121">
        <v>5693.4305000000004</v>
      </c>
    </row>
    <row r="1122" spans="1:8" x14ac:dyDescent="0.3">
      <c r="A1122">
        <v>23</v>
      </c>
      <c r="B1122" t="s">
        <v>7</v>
      </c>
      <c r="C1122">
        <v>31.4</v>
      </c>
      <c r="D1122" t="str">
        <f t="shared" si="18"/>
        <v>Obese</v>
      </c>
      <c r="E1122">
        <v>0</v>
      </c>
      <c r="F1122" t="s">
        <v>8</v>
      </c>
      <c r="G1122" t="s">
        <v>9</v>
      </c>
      <c r="H1122">
        <v>34166.273000000001</v>
      </c>
    </row>
    <row r="1123" spans="1:8" x14ac:dyDescent="0.3">
      <c r="A1123">
        <v>46</v>
      </c>
      <c r="B1123" t="s">
        <v>10</v>
      </c>
      <c r="C1123">
        <v>38.17</v>
      </c>
      <c r="D1123" t="str">
        <f t="shared" si="18"/>
        <v>Obese</v>
      </c>
      <c r="E1123">
        <v>2</v>
      </c>
      <c r="F1123" t="s">
        <v>11</v>
      </c>
      <c r="G1123" t="s">
        <v>12</v>
      </c>
      <c r="H1123">
        <v>8347.1643000000004</v>
      </c>
    </row>
    <row r="1124" spans="1:8" x14ac:dyDescent="0.3">
      <c r="A1124">
        <v>53</v>
      </c>
      <c r="B1124" t="s">
        <v>7</v>
      </c>
      <c r="C1124">
        <v>36.86</v>
      </c>
      <c r="D1124" t="str">
        <f t="shared" si="18"/>
        <v>Obese</v>
      </c>
      <c r="E1124">
        <v>3</v>
      </c>
      <c r="F1124" t="s">
        <v>8</v>
      </c>
      <c r="G1124" t="s">
        <v>13</v>
      </c>
      <c r="H1124">
        <v>46661.4424</v>
      </c>
    </row>
    <row r="1125" spans="1:8" x14ac:dyDescent="0.3">
      <c r="A1125">
        <v>27</v>
      </c>
      <c r="B1125" t="s">
        <v>7</v>
      </c>
      <c r="C1125">
        <v>32.395000000000003</v>
      </c>
      <c r="D1125" t="str">
        <f t="shared" si="18"/>
        <v>Obese</v>
      </c>
      <c r="E1125">
        <v>1</v>
      </c>
      <c r="F1125" t="s">
        <v>11</v>
      </c>
      <c r="G1125" t="s">
        <v>14</v>
      </c>
      <c r="H1125">
        <v>18903.491409999999</v>
      </c>
    </row>
    <row r="1126" spans="1:8" x14ac:dyDescent="0.3">
      <c r="A1126">
        <v>23</v>
      </c>
      <c r="B1126" t="s">
        <v>7</v>
      </c>
      <c r="C1126">
        <v>42.75</v>
      </c>
      <c r="D1126" t="str">
        <f t="shared" si="18"/>
        <v>Obese</v>
      </c>
      <c r="E1126">
        <v>1</v>
      </c>
      <c r="F1126" t="s">
        <v>8</v>
      </c>
      <c r="G1126" t="s">
        <v>14</v>
      </c>
      <c r="H1126">
        <v>40904.199500000002</v>
      </c>
    </row>
    <row r="1127" spans="1:8" x14ac:dyDescent="0.3">
      <c r="A1127">
        <v>63</v>
      </c>
      <c r="B1127" t="s">
        <v>7</v>
      </c>
      <c r="C1127">
        <v>25.08</v>
      </c>
      <c r="D1127" t="str">
        <f t="shared" si="18"/>
        <v>Overweight</v>
      </c>
      <c r="E1127">
        <v>0</v>
      </c>
      <c r="F1127" t="s">
        <v>11</v>
      </c>
      <c r="G1127" t="s">
        <v>13</v>
      </c>
      <c r="H1127">
        <v>14254.608200000001</v>
      </c>
    </row>
    <row r="1128" spans="1:8" x14ac:dyDescent="0.3">
      <c r="A1128">
        <v>55</v>
      </c>
      <c r="B1128" t="s">
        <v>10</v>
      </c>
      <c r="C1128">
        <v>29.9</v>
      </c>
      <c r="D1128" t="str">
        <f t="shared" si="18"/>
        <v>Overweight</v>
      </c>
      <c r="E1128">
        <v>0</v>
      </c>
      <c r="F1128" t="s">
        <v>11</v>
      </c>
      <c r="G1128" t="s">
        <v>9</v>
      </c>
      <c r="H1128">
        <v>10214.636</v>
      </c>
    </row>
    <row r="1129" spans="1:8" x14ac:dyDescent="0.3">
      <c r="A1129">
        <v>35</v>
      </c>
      <c r="B1129" t="s">
        <v>7</v>
      </c>
      <c r="C1129">
        <v>35.86</v>
      </c>
      <c r="D1129" t="str">
        <f t="shared" si="18"/>
        <v>Obese</v>
      </c>
      <c r="E1129">
        <v>2</v>
      </c>
      <c r="F1129" t="s">
        <v>11</v>
      </c>
      <c r="G1129" t="s">
        <v>12</v>
      </c>
      <c r="H1129">
        <v>5836.5204000000003</v>
      </c>
    </row>
    <row r="1130" spans="1:8" x14ac:dyDescent="0.3">
      <c r="A1130">
        <v>34</v>
      </c>
      <c r="B1130" t="s">
        <v>10</v>
      </c>
      <c r="C1130">
        <v>32.799999999999997</v>
      </c>
      <c r="D1130" t="str">
        <f t="shared" si="18"/>
        <v>Obese</v>
      </c>
      <c r="E1130">
        <v>1</v>
      </c>
      <c r="F1130" t="s">
        <v>11</v>
      </c>
      <c r="G1130" t="s">
        <v>9</v>
      </c>
      <c r="H1130">
        <v>14358.364369999999</v>
      </c>
    </row>
    <row r="1131" spans="1:8" x14ac:dyDescent="0.3">
      <c r="A1131">
        <v>19</v>
      </c>
      <c r="B1131" t="s">
        <v>7</v>
      </c>
      <c r="C1131">
        <v>18.600000000000001</v>
      </c>
      <c r="D1131" t="str">
        <f t="shared" si="18"/>
        <v>Normal</v>
      </c>
      <c r="E1131">
        <v>0</v>
      </c>
      <c r="F1131" t="s">
        <v>11</v>
      </c>
      <c r="G1131" t="s">
        <v>9</v>
      </c>
      <c r="H1131">
        <v>1728.8969999999999</v>
      </c>
    </row>
    <row r="1132" spans="1:8" x14ac:dyDescent="0.3">
      <c r="A1132">
        <v>39</v>
      </c>
      <c r="B1132" t="s">
        <v>7</v>
      </c>
      <c r="C1132">
        <v>23.87</v>
      </c>
      <c r="D1132" t="str">
        <f t="shared" si="18"/>
        <v>Normal</v>
      </c>
      <c r="E1132">
        <v>5</v>
      </c>
      <c r="F1132" t="s">
        <v>11</v>
      </c>
      <c r="G1132" t="s">
        <v>12</v>
      </c>
      <c r="H1132">
        <v>8582.3022999999994</v>
      </c>
    </row>
    <row r="1133" spans="1:8" x14ac:dyDescent="0.3">
      <c r="A1133">
        <v>27</v>
      </c>
      <c r="B1133" t="s">
        <v>10</v>
      </c>
      <c r="C1133">
        <v>45.9</v>
      </c>
      <c r="D1133" t="str">
        <f t="shared" si="18"/>
        <v>Obese</v>
      </c>
      <c r="E1133">
        <v>2</v>
      </c>
      <c r="F1133" t="s">
        <v>11</v>
      </c>
      <c r="G1133" t="s">
        <v>9</v>
      </c>
      <c r="H1133">
        <v>3693.4279999999999</v>
      </c>
    </row>
    <row r="1134" spans="1:8" x14ac:dyDescent="0.3">
      <c r="A1134">
        <v>57</v>
      </c>
      <c r="B1134" t="s">
        <v>10</v>
      </c>
      <c r="C1134">
        <v>40.28</v>
      </c>
      <c r="D1134" t="str">
        <f t="shared" si="18"/>
        <v>Obese</v>
      </c>
      <c r="E1134">
        <v>0</v>
      </c>
      <c r="F1134" t="s">
        <v>11</v>
      </c>
      <c r="G1134" t="s">
        <v>14</v>
      </c>
      <c r="H1134">
        <v>20709.020339999999</v>
      </c>
    </row>
    <row r="1135" spans="1:8" x14ac:dyDescent="0.3">
      <c r="A1135">
        <v>52</v>
      </c>
      <c r="B1135" t="s">
        <v>7</v>
      </c>
      <c r="C1135">
        <v>18.335000000000001</v>
      </c>
      <c r="D1135" t="str">
        <f t="shared" si="18"/>
        <v>Underweight</v>
      </c>
      <c r="E1135">
        <v>0</v>
      </c>
      <c r="F1135" t="s">
        <v>11</v>
      </c>
      <c r="G1135" t="s">
        <v>13</v>
      </c>
      <c r="H1135">
        <v>9991.0376500000002</v>
      </c>
    </row>
    <row r="1136" spans="1:8" x14ac:dyDescent="0.3">
      <c r="A1136">
        <v>28</v>
      </c>
      <c r="B1136" t="s">
        <v>10</v>
      </c>
      <c r="C1136">
        <v>33.82</v>
      </c>
      <c r="D1136" t="str">
        <f t="shared" si="18"/>
        <v>Obese</v>
      </c>
      <c r="E1136">
        <v>0</v>
      </c>
      <c r="F1136" t="s">
        <v>11</v>
      </c>
      <c r="G1136" t="s">
        <v>13</v>
      </c>
      <c r="H1136">
        <v>19673.335729999999</v>
      </c>
    </row>
    <row r="1137" spans="1:8" x14ac:dyDescent="0.3">
      <c r="A1137">
        <v>50</v>
      </c>
      <c r="B1137" t="s">
        <v>7</v>
      </c>
      <c r="C1137">
        <v>28.12</v>
      </c>
      <c r="D1137" t="str">
        <f t="shared" si="18"/>
        <v>Overweight</v>
      </c>
      <c r="E1137">
        <v>3</v>
      </c>
      <c r="F1137" t="s">
        <v>11</v>
      </c>
      <c r="G1137" t="s">
        <v>13</v>
      </c>
      <c r="H1137">
        <v>11085.586799999999</v>
      </c>
    </row>
    <row r="1138" spans="1:8" x14ac:dyDescent="0.3">
      <c r="A1138">
        <v>44</v>
      </c>
      <c r="B1138" t="s">
        <v>7</v>
      </c>
      <c r="C1138">
        <v>25</v>
      </c>
      <c r="D1138" t="str">
        <f t="shared" si="18"/>
        <v>Overweight</v>
      </c>
      <c r="E1138">
        <v>1</v>
      </c>
      <c r="F1138" t="s">
        <v>11</v>
      </c>
      <c r="G1138" t="s">
        <v>9</v>
      </c>
      <c r="H1138">
        <v>7623.518</v>
      </c>
    </row>
    <row r="1139" spans="1:8" x14ac:dyDescent="0.3">
      <c r="A1139">
        <v>26</v>
      </c>
      <c r="B1139" t="s">
        <v>7</v>
      </c>
      <c r="C1139">
        <v>22.23</v>
      </c>
      <c r="D1139" t="str">
        <f t="shared" si="18"/>
        <v>Normal</v>
      </c>
      <c r="E1139">
        <v>0</v>
      </c>
      <c r="F1139" t="s">
        <v>11</v>
      </c>
      <c r="G1139" t="s">
        <v>13</v>
      </c>
      <c r="H1139">
        <v>3176.2876999999999</v>
      </c>
    </row>
    <row r="1140" spans="1:8" x14ac:dyDescent="0.3">
      <c r="A1140">
        <v>33</v>
      </c>
      <c r="B1140" t="s">
        <v>10</v>
      </c>
      <c r="C1140">
        <v>30.25</v>
      </c>
      <c r="D1140" t="str">
        <f t="shared" si="18"/>
        <v>Obese</v>
      </c>
      <c r="E1140">
        <v>0</v>
      </c>
      <c r="F1140" t="s">
        <v>11</v>
      </c>
      <c r="G1140" t="s">
        <v>12</v>
      </c>
      <c r="H1140">
        <v>3704.3544999999999</v>
      </c>
    </row>
    <row r="1141" spans="1:8" x14ac:dyDescent="0.3">
      <c r="A1141">
        <v>19</v>
      </c>
      <c r="B1141" t="s">
        <v>7</v>
      </c>
      <c r="C1141">
        <v>32.49</v>
      </c>
      <c r="D1141" t="str">
        <f t="shared" si="18"/>
        <v>Obese</v>
      </c>
      <c r="E1141">
        <v>0</v>
      </c>
      <c r="F1141" t="s">
        <v>8</v>
      </c>
      <c r="G1141" t="s">
        <v>13</v>
      </c>
      <c r="H1141">
        <v>36898.733079999998</v>
      </c>
    </row>
    <row r="1142" spans="1:8" x14ac:dyDescent="0.3">
      <c r="A1142">
        <v>50</v>
      </c>
      <c r="B1142" t="s">
        <v>10</v>
      </c>
      <c r="C1142">
        <v>37.07</v>
      </c>
      <c r="D1142" t="str">
        <f t="shared" si="18"/>
        <v>Obese</v>
      </c>
      <c r="E1142">
        <v>1</v>
      </c>
      <c r="F1142" t="s">
        <v>11</v>
      </c>
      <c r="G1142" t="s">
        <v>12</v>
      </c>
      <c r="H1142">
        <v>9048.0272999999997</v>
      </c>
    </row>
    <row r="1143" spans="1:8" x14ac:dyDescent="0.3">
      <c r="A1143">
        <v>41</v>
      </c>
      <c r="B1143" t="s">
        <v>7</v>
      </c>
      <c r="C1143">
        <v>32.6</v>
      </c>
      <c r="D1143" t="str">
        <f t="shared" si="18"/>
        <v>Obese</v>
      </c>
      <c r="E1143">
        <v>3</v>
      </c>
      <c r="F1143" t="s">
        <v>11</v>
      </c>
      <c r="G1143" t="s">
        <v>9</v>
      </c>
      <c r="H1143">
        <v>7954.5169999999998</v>
      </c>
    </row>
    <row r="1144" spans="1:8" x14ac:dyDescent="0.3">
      <c r="A1144">
        <v>52</v>
      </c>
      <c r="B1144" t="s">
        <v>7</v>
      </c>
      <c r="C1144">
        <v>24.86</v>
      </c>
      <c r="D1144" t="str">
        <f t="shared" si="18"/>
        <v>Normal</v>
      </c>
      <c r="E1144">
        <v>0</v>
      </c>
      <c r="F1144" t="s">
        <v>11</v>
      </c>
      <c r="G1144" t="s">
        <v>12</v>
      </c>
      <c r="H1144">
        <v>27117.993780000001</v>
      </c>
    </row>
    <row r="1145" spans="1:8" x14ac:dyDescent="0.3">
      <c r="A1145">
        <v>39</v>
      </c>
      <c r="B1145" t="s">
        <v>10</v>
      </c>
      <c r="C1145">
        <v>32.340000000000003</v>
      </c>
      <c r="D1145" t="str">
        <f t="shared" si="18"/>
        <v>Obese</v>
      </c>
      <c r="E1145">
        <v>2</v>
      </c>
      <c r="F1145" t="s">
        <v>11</v>
      </c>
      <c r="G1145" t="s">
        <v>12</v>
      </c>
      <c r="H1145">
        <v>6338.0756000000001</v>
      </c>
    </row>
    <row r="1146" spans="1:8" x14ac:dyDescent="0.3">
      <c r="A1146">
        <v>50</v>
      </c>
      <c r="B1146" t="s">
        <v>10</v>
      </c>
      <c r="C1146">
        <v>32.299999999999997</v>
      </c>
      <c r="D1146" t="str">
        <f t="shared" si="18"/>
        <v>Obese</v>
      </c>
      <c r="E1146">
        <v>2</v>
      </c>
      <c r="F1146" t="s">
        <v>11</v>
      </c>
      <c r="G1146" t="s">
        <v>9</v>
      </c>
      <c r="H1146">
        <v>9630.3970000000008</v>
      </c>
    </row>
    <row r="1147" spans="1:8" x14ac:dyDescent="0.3">
      <c r="A1147">
        <v>52</v>
      </c>
      <c r="B1147" t="s">
        <v>10</v>
      </c>
      <c r="C1147">
        <v>32.774999999999999</v>
      </c>
      <c r="D1147" t="str">
        <f t="shared" si="18"/>
        <v>Obese</v>
      </c>
      <c r="E1147">
        <v>3</v>
      </c>
      <c r="F1147" t="s">
        <v>11</v>
      </c>
      <c r="G1147" t="s">
        <v>13</v>
      </c>
      <c r="H1147">
        <v>11289.10925</v>
      </c>
    </row>
    <row r="1148" spans="1:8" x14ac:dyDescent="0.3">
      <c r="A1148">
        <v>60</v>
      </c>
      <c r="B1148" t="s">
        <v>10</v>
      </c>
      <c r="C1148">
        <v>32.799999999999997</v>
      </c>
      <c r="D1148" t="str">
        <f t="shared" si="18"/>
        <v>Obese</v>
      </c>
      <c r="E1148">
        <v>0</v>
      </c>
      <c r="F1148" t="s">
        <v>8</v>
      </c>
      <c r="G1148" t="s">
        <v>9</v>
      </c>
      <c r="H1148">
        <v>52590.829389999999</v>
      </c>
    </row>
    <row r="1149" spans="1:8" x14ac:dyDescent="0.3">
      <c r="A1149">
        <v>20</v>
      </c>
      <c r="B1149" t="s">
        <v>7</v>
      </c>
      <c r="C1149">
        <v>31.92</v>
      </c>
      <c r="D1149" t="str">
        <f t="shared" si="18"/>
        <v>Obese</v>
      </c>
      <c r="E1149">
        <v>0</v>
      </c>
      <c r="F1149" t="s">
        <v>11</v>
      </c>
      <c r="G1149" t="s">
        <v>13</v>
      </c>
      <c r="H1149">
        <v>2261.5688</v>
      </c>
    </row>
    <row r="1150" spans="1:8" x14ac:dyDescent="0.3">
      <c r="A1150">
        <v>55</v>
      </c>
      <c r="B1150" t="s">
        <v>10</v>
      </c>
      <c r="C1150">
        <v>21.5</v>
      </c>
      <c r="D1150" t="str">
        <f t="shared" si="18"/>
        <v>Normal</v>
      </c>
      <c r="E1150">
        <v>1</v>
      </c>
      <c r="F1150" t="s">
        <v>11</v>
      </c>
      <c r="G1150" t="s">
        <v>9</v>
      </c>
      <c r="H1150">
        <v>10791.96</v>
      </c>
    </row>
    <row r="1151" spans="1:8" x14ac:dyDescent="0.3">
      <c r="A1151">
        <v>42</v>
      </c>
      <c r="B1151" t="s">
        <v>10</v>
      </c>
      <c r="C1151">
        <v>34.1</v>
      </c>
      <c r="D1151" t="str">
        <f t="shared" si="18"/>
        <v>Obese</v>
      </c>
      <c r="E1151">
        <v>0</v>
      </c>
      <c r="F1151" t="s">
        <v>11</v>
      </c>
      <c r="G1151" t="s">
        <v>9</v>
      </c>
      <c r="H1151">
        <v>5979.7309999999998</v>
      </c>
    </row>
    <row r="1152" spans="1:8" x14ac:dyDescent="0.3">
      <c r="A1152">
        <v>18</v>
      </c>
      <c r="B1152" t="s">
        <v>7</v>
      </c>
      <c r="C1152">
        <v>30.305</v>
      </c>
      <c r="D1152" t="str">
        <f t="shared" si="18"/>
        <v>Obese</v>
      </c>
      <c r="E1152">
        <v>0</v>
      </c>
      <c r="F1152" t="s">
        <v>11</v>
      </c>
      <c r="G1152" t="s">
        <v>14</v>
      </c>
      <c r="H1152">
        <v>2203.7359499999998</v>
      </c>
    </row>
    <row r="1153" spans="1:8" x14ac:dyDescent="0.3">
      <c r="A1153">
        <v>58</v>
      </c>
      <c r="B1153" t="s">
        <v>7</v>
      </c>
      <c r="C1153">
        <v>36.479999999999997</v>
      </c>
      <c r="D1153" t="str">
        <f t="shared" si="18"/>
        <v>Obese</v>
      </c>
      <c r="E1153">
        <v>0</v>
      </c>
      <c r="F1153" t="s">
        <v>11</v>
      </c>
      <c r="G1153" t="s">
        <v>13</v>
      </c>
      <c r="H1153">
        <v>12235.8392</v>
      </c>
    </row>
    <row r="1154" spans="1:8" x14ac:dyDescent="0.3">
      <c r="A1154">
        <v>43</v>
      </c>
      <c r="B1154" t="s">
        <v>7</v>
      </c>
      <c r="C1154">
        <v>32.56</v>
      </c>
      <c r="D1154" t="str">
        <f t="shared" si="18"/>
        <v>Obese</v>
      </c>
      <c r="E1154">
        <v>3</v>
      </c>
      <c r="F1154" t="s">
        <v>8</v>
      </c>
      <c r="G1154" t="s">
        <v>12</v>
      </c>
      <c r="H1154">
        <v>40941.285400000001</v>
      </c>
    </row>
    <row r="1155" spans="1:8" x14ac:dyDescent="0.3">
      <c r="A1155">
        <v>35</v>
      </c>
      <c r="B1155" t="s">
        <v>7</v>
      </c>
      <c r="C1155">
        <v>35.814999999999998</v>
      </c>
      <c r="D1155" t="str">
        <f t="shared" si="18"/>
        <v>Obese</v>
      </c>
      <c r="E1155">
        <v>1</v>
      </c>
      <c r="F1155" t="s">
        <v>11</v>
      </c>
      <c r="G1155" t="s">
        <v>13</v>
      </c>
      <c r="H1155">
        <v>5630.4578499999998</v>
      </c>
    </row>
    <row r="1156" spans="1:8" x14ac:dyDescent="0.3">
      <c r="A1156">
        <v>48</v>
      </c>
      <c r="B1156" t="s">
        <v>7</v>
      </c>
      <c r="C1156">
        <v>27.93</v>
      </c>
      <c r="D1156" t="str">
        <f t="shared" si="18"/>
        <v>Overweight</v>
      </c>
      <c r="E1156">
        <v>4</v>
      </c>
      <c r="F1156" t="s">
        <v>11</v>
      </c>
      <c r="G1156" t="s">
        <v>13</v>
      </c>
      <c r="H1156">
        <v>11015.1747</v>
      </c>
    </row>
    <row r="1157" spans="1:8" x14ac:dyDescent="0.3">
      <c r="A1157">
        <v>36</v>
      </c>
      <c r="B1157" t="s">
        <v>7</v>
      </c>
      <c r="C1157">
        <v>22.135000000000002</v>
      </c>
      <c r="D1157" t="str">
        <f t="shared" si="18"/>
        <v>Normal</v>
      </c>
      <c r="E1157">
        <v>3</v>
      </c>
      <c r="F1157" t="s">
        <v>11</v>
      </c>
      <c r="G1157" t="s">
        <v>14</v>
      </c>
      <c r="H1157">
        <v>7228.2156500000001</v>
      </c>
    </row>
    <row r="1158" spans="1:8" x14ac:dyDescent="0.3">
      <c r="A1158">
        <v>19</v>
      </c>
      <c r="B1158" t="s">
        <v>10</v>
      </c>
      <c r="C1158">
        <v>44.88</v>
      </c>
      <c r="D1158" t="str">
        <f t="shared" si="18"/>
        <v>Obese</v>
      </c>
      <c r="E1158">
        <v>0</v>
      </c>
      <c r="F1158" t="s">
        <v>8</v>
      </c>
      <c r="G1158" t="s">
        <v>12</v>
      </c>
      <c r="H1158">
        <v>39722.746200000001</v>
      </c>
    </row>
    <row r="1159" spans="1:8" x14ac:dyDescent="0.3">
      <c r="A1159">
        <v>23</v>
      </c>
      <c r="B1159" t="s">
        <v>7</v>
      </c>
      <c r="C1159">
        <v>23.18</v>
      </c>
      <c r="D1159" t="str">
        <f t="shared" si="18"/>
        <v>Normal</v>
      </c>
      <c r="E1159">
        <v>2</v>
      </c>
      <c r="F1159" t="s">
        <v>11</v>
      </c>
      <c r="G1159" t="s">
        <v>13</v>
      </c>
      <c r="H1159">
        <v>14426.073850000001</v>
      </c>
    </row>
    <row r="1160" spans="1:8" x14ac:dyDescent="0.3">
      <c r="A1160">
        <v>20</v>
      </c>
      <c r="B1160" t="s">
        <v>7</v>
      </c>
      <c r="C1160">
        <v>30.59</v>
      </c>
      <c r="D1160" t="str">
        <f t="shared" si="18"/>
        <v>Obese</v>
      </c>
      <c r="E1160">
        <v>0</v>
      </c>
      <c r="F1160" t="s">
        <v>11</v>
      </c>
      <c r="G1160" t="s">
        <v>14</v>
      </c>
      <c r="H1160">
        <v>2459.7201</v>
      </c>
    </row>
    <row r="1161" spans="1:8" x14ac:dyDescent="0.3">
      <c r="A1161">
        <v>32</v>
      </c>
      <c r="B1161" t="s">
        <v>7</v>
      </c>
      <c r="C1161">
        <v>41.1</v>
      </c>
      <c r="D1161" t="str">
        <f t="shared" si="18"/>
        <v>Obese</v>
      </c>
      <c r="E1161">
        <v>0</v>
      </c>
      <c r="F1161" t="s">
        <v>11</v>
      </c>
      <c r="G1161" t="s">
        <v>9</v>
      </c>
      <c r="H1161">
        <v>3989.8409999999999</v>
      </c>
    </row>
    <row r="1162" spans="1:8" x14ac:dyDescent="0.3">
      <c r="A1162">
        <v>43</v>
      </c>
      <c r="B1162" t="s">
        <v>7</v>
      </c>
      <c r="C1162">
        <v>34.58</v>
      </c>
      <c r="D1162" t="str">
        <f t="shared" si="18"/>
        <v>Obese</v>
      </c>
      <c r="E1162">
        <v>1</v>
      </c>
      <c r="F1162" t="s">
        <v>11</v>
      </c>
      <c r="G1162" t="s">
        <v>13</v>
      </c>
      <c r="H1162">
        <v>7727.2532000000001</v>
      </c>
    </row>
    <row r="1163" spans="1:8" x14ac:dyDescent="0.3">
      <c r="A1163">
        <v>34</v>
      </c>
      <c r="B1163" t="s">
        <v>10</v>
      </c>
      <c r="C1163">
        <v>42.13</v>
      </c>
      <c r="D1163" t="str">
        <f t="shared" si="18"/>
        <v>Obese</v>
      </c>
      <c r="E1163">
        <v>2</v>
      </c>
      <c r="F1163" t="s">
        <v>11</v>
      </c>
      <c r="G1163" t="s">
        <v>12</v>
      </c>
      <c r="H1163">
        <v>5124.1886999999997</v>
      </c>
    </row>
    <row r="1164" spans="1:8" x14ac:dyDescent="0.3">
      <c r="A1164">
        <v>30</v>
      </c>
      <c r="B1164" t="s">
        <v>10</v>
      </c>
      <c r="C1164">
        <v>38.83</v>
      </c>
      <c r="D1164" t="str">
        <f t="shared" si="18"/>
        <v>Obese</v>
      </c>
      <c r="E1164">
        <v>1</v>
      </c>
      <c r="F1164" t="s">
        <v>11</v>
      </c>
      <c r="G1164" t="s">
        <v>12</v>
      </c>
      <c r="H1164">
        <v>18963.171920000001</v>
      </c>
    </row>
    <row r="1165" spans="1:8" x14ac:dyDescent="0.3">
      <c r="A1165">
        <v>18</v>
      </c>
      <c r="B1165" t="s">
        <v>7</v>
      </c>
      <c r="C1165">
        <v>28.215</v>
      </c>
      <c r="D1165" t="str">
        <f t="shared" si="18"/>
        <v>Overweight</v>
      </c>
      <c r="E1165">
        <v>0</v>
      </c>
      <c r="F1165" t="s">
        <v>11</v>
      </c>
      <c r="G1165" t="s">
        <v>14</v>
      </c>
      <c r="H1165">
        <v>2200.8308499999998</v>
      </c>
    </row>
    <row r="1166" spans="1:8" x14ac:dyDescent="0.3">
      <c r="A1166">
        <v>41</v>
      </c>
      <c r="B1166" t="s">
        <v>7</v>
      </c>
      <c r="C1166">
        <v>28.31</v>
      </c>
      <c r="D1166" t="str">
        <f t="shared" si="18"/>
        <v>Overweight</v>
      </c>
      <c r="E1166">
        <v>1</v>
      </c>
      <c r="F1166" t="s">
        <v>11</v>
      </c>
      <c r="G1166" t="s">
        <v>13</v>
      </c>
      <c r="H1166">
        <v>7153.5538999999999</v>
      </c>
    </row>
    <row r="1167" spans="1:8" x14ac:dyDescent="0.3">
      <c r="A1167">
        <v>35</v>
      </c>
      <c r="B1167" t="s">
        <v>7</v>
      </c>
      <c r="C1167">
        <v>26.125</v>
      </c>
      <c r="D1167" t="str">
        <f t="shared" si="18"/>
        <v>Overweight</v>
      </c>
      <c r="E1167">
        <v>0</v>
      </c>
      <c r="F1167" t="s">
        <v>11</v>
      </c>
      <c r="G1167" t="s">
        <v>14</v>
      </c>
      <c r="H1167">
        <v>5227.9887500000004</v>
      </c>
    </row>
    <row r="1168" spans="1:8" x14ac:dyDescent="0.3">
      <c r="A1168">
        <v>57</v>
      </c>
      <c r="B1168" t="s">
        <v>10</v>
      </c>
      <c r="C1168">
        <v>40.369999999999997</v>
      </c>
      <c r="D1168" t="str">
        <f t="shared" si="18"/>
        <v>Obese</v>
      </c>
      <c r="E1168">
        <v>0</v>
      </c>
      <c r="F1168" t="s">
        <v>11</v>
      </c>
      <c r="G1168" t="s">
        <v>12</v>
      </c>
      <c r="H1168">
        <v>10982.5013</v>
      </c>
    </row>
    <row r="1169" spans="1:8" x14ac:dyDescent="0.3">
      <c r="A1169">
        <v>29</v>
      </c>
      <c r="B1169" t="s">
        <v>7</v>
      </c>
      <c r="C1169">
        <v>24.6</v>
      </c>
      <c r="D1169" t="str">
        <f t="shared" si="18"/>
        <v>Normal</v>
      </c>
      <c r="E1169">
        <v>2</v>
      </c>
      <c r="F1169" t="s">
        <v>11</v>
      </c>
      <c r="G1169" t="s">
        <v>9</v>
      </c>
      <c r="H1169">
        <v>4529.4769999999999</v>
      </c>
    </row>
    <row r="1170" spans="1:8" x14ac:dyDescent="0.3">
      <c r="A1170">
        <v>32</v>
      </c>
      <c r="B1170" t="s">
        <v>10</v>
      </c>
      <c r="C1170">
        <v>35.200000000000003</v>
      </c>
      <c r="D1170" t="str">
        <f t="shared" si="18"/>
        <v>Obese</v>
      </c>
      <c r="E1170">
        <v>2</v>
      </c>
      <c r="F1170" t="s">
        <v>11</v>
      </c>
      <c r="G1170" t="s">
        <v>9</v>
      </c>
      <c r="H1170">
        <v>4670.6400000000003</v>
      </c>
    </row>
    <row r="1171" spans="1:8" x14ac:dyDescent="0.3">
      <c r="A1171">
        <v>37</v>
      </c>
      <c r="B1171" t="s">
        <v>7</v>
      </c>
      <c r="C1171">
        <v>34.104999999999997</v>
      </c>
      <c r="D1171" t="str">
        <f t="shared" si="18"/>
        <v>Obese</v>
      </c>
      <c r="E1171">
        <v>1</v>
      </c>
      <c r="F1171" t="s">
        <v>11</v>
      </c>
      <c r="G1171" t="s">
        <v>13</v>
      </c>
      <c r="H1171">
        <v>6112.3529500000004</v>
      </c>
    </row>
    <row r="1172" spans="1:8" x14ac:dyDescent="0.3">
      <c r="A1172">
        <v>18</v>
      </c>
      <c r="B1172" t="s">
        <v>10</v>
      </c>
      <c r="C1172">
        <v>27.36</v>
      </c>
      <c r="D1172" t="str">
        <f t="shared" si="18"/>
        <v>Overweight</v>
      </c>
      <c r="E1172">
        <v>1</v>
      </c>
      <c r="F1172" t="s">
        <v>8</v>
      </c>
      <c r="G1172" t="s">
        <v>14</v>
      </c>
      <c r="H1172">
        <v>17178.682400000002</v>
      </c>
    </row>
    <row r="1173" spans="1:8" x14ac:dyDescent="0.3">
      <c r="A1173">
        <v>43</v>
      </c>
      <c r="B1173" t="s">
        <v>7</v>
      </c>
      <c r="C1173">
        <v>26.7</v>
      </c>
      <c r="D1173" t="str">
        <f t="shared" ref="D1173:D1236" si="19">IF(C1173&lt;18.5,"Underweight",IF(C1173&lt;24.9,"Normal",IF(C1173&lt;30,"Overweight","Obese")))</f>
        <v>Overweight</v>
      </c>
      <c r="E1173">
        <v>2</v>
      </c>
      <c r="F1173" t="s">
        <v>8</v>
      </c>
      <c r="G1173" t="s">
        <v>9</v>
      </c>
      <c r="H1173">
        <v>22478.6</v>
      </c>
    </row>
    <row r="1174" spans="1:8" x14ac:dyDescent="0.3">
      <c r="A1174">
        <v>56</v>
      </c>
      <c r="B1174" t="s">
        <v>7</v>
      </c>
      <c r="C1174">
        <v>41.91</v>
      </c>
      <c r="D1174" t="str">
        <f t="shared" si="19"/>
        <v>Obese</v>
      </c>
      <c r="E1174">
        <v>0</v>
      </c>
      <c r="F1174" t="s">
        <v>11</v>
      </c>
      <c r="G1174" t="s">
        <v>12</v>
      </c>
      <c r="H1174">
        <v>11093.6229</v>
      </c>
    </row>
    <row r="1175" spans="1:8" x14ac:dyDescent="0.3">
      <c r="A1175">
        <v>38</v>
      </c>
      <c r="B1175" t="s">
        <v>10</v>
      </c>
      <c r="C1175">
        <v>29.26</v>
      </c>
      <c r="D1175" t="str">
        <f t="shared" si="19"/>
        <v>Overweight</v>
      </c>
      <c r="E1175">
        <v>2</v>
      </c>
      <c r="F1175" t="s">
        <v>11</v>
      </c>
      <c r="G1175" t="s">
        <v>13</v>
      </c>
      <c r="H1175">
        <v>6457.8433999999997</v>
      </c>
    </row>
    <row r="1176" spans="1:8" x14ac:dyDescent="0.3">
      <c r="A1176">
        <v>29</v>
      </c>
      <c r="B1176" t="s">
        <v>10</v>
      </c>
      <c r="C1176">
        <v>32.11</v>
      </c>
      <c r="D1176" t="str">
        <f t="shared" si="19"/>
        <v>Obese</v>
      </c>
      <c r="E1176">
        <v>2</v>
      </c>
      <c r="F1176" t="s">
        <v>11</v>
      </c>
      <c r="G1176" t="s">
        <v>13</v>
      </c>
      <c r="H1176">
        <v>4433.9159</v>
      </c>
    </row>
    <row r="1177" spans="1:8" x14ac:dyDescent="0.3">
      <c r="A1177">
        <v>22</v>
      </c>
      <c r="B1177" t="s">
        <v>7</v>
      </c>
      <c r="C1177">
        <v>27.1</v>
      </c>
      <c r="D1177" t="str">
        <f t="shared" si="19"/>
        <v>Overweight</v>
      </c>
      <c r="E1177">
        <v>0</v>
      </c>
      <c r="F1177" t="s">
        <v>11</v>
      </c>
      <c r="G1177" t="s">
        <v>9</v>
      </c>
      <c r="H1177">
        <v>2154.3609999999999</v>
      </c>
    </row>
    <row r="1178" spans="1:8" x14ac:dyDescent="0.3">
      <c r="A1178">
        <v>52</v>
      </c>
      <c r="B1178" t="s">
        <v>7</v>
      </c>
      <c r="C1178">
        <v>24.13</v>
      </c>
      <c r="D1178" t="str">
        <f t="shared" si="19"/>
        <v>Normal</v>
      </c>
      <c r="E1178">
        <v>1</v>
      </c>
      <c r="F1178" t="s">
        <v>8</v>
      </c>
      <c r="G1178" t="s">
        <v>13</v>
      </c>
      <c r="H1178">
        <v>23887.662700000001</v>
      </c>
    </row>
    <row r="1179" spans="1:8" x14ac:dyDescent="0.3">
      <c r="A1179">
        <v>40</v>
      </c>
      <c r="B1179" t="s">
        <v>7</v>
      </c>
      <c r="C1179">
        <v>27.4</v>
      </c>
      <c r="D1179" t="str">
        <f t="shared" si="19"/>
        <v>Overweight</v>
      </c>
      <c r="E1179">
        <v>1</v>
      </c>
      <c r="F1179" t="s">
        <v>11</v>
      </c>
      <c r="G1179" t="s">
        <v>9</v>
      </c>
      <c r="H1179">
        <v>6496.8860000000004</v>
      </c>
    </row>
    <row r="1180" spans="1:8" x14ac:dyDescent="0.3">
      <c r="A1180">
        <v>23</v>
      </c>
      <c r="B1180" t="s">
        <v>7</v>
      </c>
      <c r="C1180">
        <v>34.865000000000002</v>
      </c>
      <c r="D1180" t="str">
        <f t="shared" si="19"/>
        <v>Obese</v>
      </c>
      <c r="E1180">
        <v>0</v>
      </c>
      <c r="F1180" t="s">
        <v>11</v>
      </c>
      <c r="G1180" t="s">
        <v>14</v>
      </c>
      <c r="H1180">
        <v>2899.4893499999998</v>
      </c>
    </row>
    <row r="1181" spans="1:8" x14ac:dyDescent="0.3">
      <c r="A1181">
        <v>31</v>
      </c>
      <c r="B1181" t="s">
        <v>10</v>
      </c>
      <c r="C1181">
        <v>29.81</v>
      </c>
      <c r="D1181" t="str">
        <f t="shared" si="19"/>
        <v>Overweight</v>
      </c>
      <c r="E1181">
        <v>0</v>
      </c>
      <c r="F1181" t="s">
        <v>8</v>
      </c>
      <c r="G1181" t="s">
        <v>12</v>
      </c>
      <c r="H1181">
        <v>19350.368900000001</v>
      </c>
    </row>
    <row r="1182" spans="1:8" x14ac:dyDescent="0.3">
      <c r="A1182">
        <v>42</v>
      </c>
      <c r="B1182" t="s">
        <v>7</v>
      </c>
      <c r="C1182">
        <v>41.325000000000003</v>
      </c>
      <c r="D1182" t="str">
        <f t="shared" si="19"/>
        <v>Obese</v>
      </c>
      <c r="E1182">
        <v>1</v>
      </c>
      <c r="F1182" t="s">
        <v>11</v>
      </c>
      <c r="G1182" t="s">
        <v>14</v>
      </c>
      <c r="H1182">
        <v>7650.7737500000003</v>
      </c>
    </row>
    <row r="1183" spans="1:8" x14ac:dyDescent="0.3">
      <c r="A1183">
        <v>24</v>
      </c>
      <c r="B1183" t="s">
        <v>7</v>
      </c>
      <c r="C1183">
        <v>29.925000000000001</v>
      </c>
      <c r="D1183" t="str">
        <f t="shared" si="19"/>
        <v>Overweight</v>
      </c>
      <c r="E1183">
        <v>0</v>
      </c>
      <c r="F1183" t="s">
        <v>11</v>
      </c>
      <c r="G1183" t="s">
        <v>13</v>
      </c>
      <c r="H1183">
        <v>2850.6837500000001</v>
      </c>
    </row>
    <row r="1184" spans="1:8" x14ac:dyDescent="0.3">
      <c r="A1184">
        <v>25</v>
      </c>
      <c r="B1184" t="s">
        <v>7</v>
      </c>
      <c r="C1184">
        <v>30.3</v>
      </c>
      <c r="D1184" t="str">
        <f t="shared" si="19"/>
        <v>Obese</v>
      </c>
      <c r="E1184">
        <v>0</v>
      </c>
      <c r="F1184" t="s">
        <v>11</v>
      </c>
      <c r="G1184" t="s">
        <v>9</v>
      </c>
      <c r="H1184">
        <v>2632.9920000000002</v>
      </c>
    </row>
    <row r="1185" spans="1:8" x14ac:dyDescent="0.3">
      <c r="A1185">
        <v>48</v>
      </c>
      <c r="B1185" t="s">
        <v>7</v>
      </c>
      <c r="C1185">
        <v>27.36</v>
      </c>
      <c r="D1185" t="str">
        <f t="shared" si="19"/>
        <v>Overweight</v>
      </c>
      <c r="E1185">
        <v>1</v>
      </c>
      <c r="F1185" t="s">
        <v>11</v>
      </c>
      <c r="G1185" t="s">
        <v>14</v>
      </c>
      <c r="H1185">
        <v>9447.3824000000004</v>
      </c>
    </row>
    <row r="1186" spans="1:8" x14ac:dyDescent="0.3">
      <c r="A1186">
        <v>23</v>
      </c>
      <c r="B1186" t="s">
        <v>7</v>
      </c>
      <c r="C1186">
        <v>28.49</v>
      </c>
      <c r="D1186" t="str">
        <f t="shared" si="19"/>
        <v>Overweight</v>
      </c>
      <c r="E1186">
        <v>1</v>
      </c>
      <c r="F1186" t="s">
        <v>8</v>
      </c>
      <c r="G1186" t="s">
        <v>12</v>
      </c>
      <c r="H1186">
        <v>18328.238099999999</v>
      </c>
    </row>
    <row r="1187" spans="1:8" x14ac:dyDescent="0.3">
      <c r="A1187">
        <v>45</v>
      </c>
      <c r="B1187" t="s">
        <v>10</v>
      </c>
      <c r="C1187">
        <v>23.56</v>
      </c>
      <c r="D1187" t="str">
        <f t="shared" si="19"/>
        <v>Normal</v>
      </c>
      <c r="E1187">
        <v>2</v>
      </c>
      <c r="F1187" t="s">
        <v>11</v>
      </c>
      <c r="G1187" t="s">
        <v>14</v>
      </c>
      <c r="H1187">
        <v>8603.8233999999993</v>
      </c>
    </row>
    <row r="1188" spans="1:8" x14ac:dyDescent="0.3">
      <c r="A1188">
        <v>20</v>
      </c>
      <c r="B1188" t="s">
        <v>10</v>
      </c>
      <c r="C1188">
        <v>35.625</v>
      </c>
      <c r="D1188" t="str">
        <f t="shared" si="19"/>
        <v>Obese</v>
      </c>
      <c r="E1188">
        <v>3</v>
      </c>
      <c r="F1188" t="s">
        <v>8</v>
      </c>
      <c r="G1188" t="s">
        <v>13</v>
      </c>
      <c r="H1188">
        <v>37465.34375</v>
      </c>
    </row>
    <row r="1189" spans="1:8" x14ac:dyDescent="0.3">
      <c r="A1189">
        <v>62</v>
      </c>
      <c r="B1189" t="s">
        <v>7</v>
      </c>
      <c r="C1189">
        <v>32.68</v>
      </c>
      <c r="D1189" t="str">
        <f t="shared" si="19"/>
        <v>Obese</v>
      </c>
      <c r="E1189">
        <v>0</v>
      </c>
      <c r="F1189" t="s">
        <v>11</v>
      </c>
      <c r="G1189" t="s">
        <v>13</v>
      </c>
      <c r="H1189">
        <v>13844.797200000001</v>
      </c>
    </row>
    <row r="1190" spans="1:8" x14ac:dyDescent="0.3">
      <c r="A1190">
        <v>43</v>
      </c>
      <c r="B1190" t="s">
        <v>7</v>
      </c>
      <c r="C1190">
        <v>25.27</v>
      </c>
      <c r="D1190" t="str">
        <f t="shared" si="19"/>
        <v>Overweight</v>
      </c>
      <c r="E1190">
        <v>1</v>
      </c>
      <c r="F1190" t="s">
        <v>8</v>
      </c>
      <c r="G1190" t="s">
        <v>14</v>
      </c>
      <c r="H1190">
        <v>21771.3423</v>
      </c>
    </row>
    <row r="1191" spans="1:8" x14ac:dyDescent="0.3">
      <c r="A1191">
        <v>23</v>
      </c>
      <c r="B1191" t="s">
        <v>7</v>
      </c>
      <c r="C1191">
        <v>28</v>
      </c>
      <c r="D1191" t="str">
        <f t="shared" si="19"/>
        <v>Overweight</v>
      </c>
      <c r="E1191">
        <v>0</v>
      </c>
      <c r="F1191" t="s">
        <v>11</v>
      </c>
      <c r="G1191" t="s">
        <v>9</v>
      </c>
      <c r="H1191">
        <v>13126.677449999999</v>
      </c>
    </row>
    <row r="1192" spans="1:8" x14ac:dyDescent="0.3">
      <c r="A1192">
        <v>31</v>
      </c>
      <c r="B1192" t="s">
        <v>7</v>
      </c>
      <c r="C1192">
        <v>32.774999999999999</v>
      </c>
      <c r="D1192" t="str">
        <f t="shared" si="19"/>
        <v>Obese</v>
      </c>
      <c r="E1192">
        <v>2</v>
      </c>
      <c r="F1192" t="s">
        <v>11</v>
      </c>
      <c r="G1192" t="s">
        <v>13</v>
      </c>
      <c r="H1192">
        <v>5327.4002499999997</v>
      </c>
    </row>
    <row r="1193" spans="1:8" x14ac:dyDescent="0.3">
      <c r="A1193">
        <v>41</v>
      </c>
      <c r="B1193" t="s">
        <v>7</v>
      </c>
      <c r="C1193">
        <v>21.754999999999999</v>
      </c>
      <c r="D1193" t="str">
        <f t="shared" si="19"/>
        <v>Normal</v>
      </c>
      <c r="E1193">
        <v>1</v>
      </c>
      <c r="F1193" t="s">
        <v>11</v>
      </c>
      <c r="G1193" t="s">
        <v>14</v>
      </c>
      <c r="H1193">
        <v>13725.47184</v>
      </c>
    </row>
    <row r="1194" spans="1:8" x14ac:dyDescent="0.3">
      <c r="A1194">
        <v>58</v>
      </c>
      <c r="B1194" t="s">
        <v>7</v>
      </c>
      <c r="C1194">
        <v>32.395000000000003</v>
      </c>
      <c r="D1194" t="str">
        <f t="shared" si="19"/>
        <v>Obese</v>
      </c>
      <c r="E1194">
        <v>1</v>
      </c>
      <c r="F1194" t="s">
        <v>11</v>
      </c>
      <c r="G1194" t="s">
        <v>14</v>
      </c>
      <c r="H1194">
        <v>13019.161050000001</v>
      </c>
    </row>
    <row r="1195" spans="1:8" x14ac:dyDescent="0.3">
      <c r="A1195">
        <v>48</v>
      </c>
      <c r="B1195" t="s">
        <v>7</v>
      </c>
      <c r="C1195">
        <v>36.575000000000003</v>
      </c>
      <c r="D1195" t="str">
        <f t="shared" si="19"/>
        <v>Obese</v>
      </c>
      <c r="E1195">
        <v>0</v>
      </c>
      <c r="F1195" t="s">
        <v>11</v>
      </c>
      <c r="G1195" t="s">
        <v>13</v>
      </c>
      <c r="H1195">
        <v>8671.1912499999999</v>
      </c>
    </row>
    <row r="1196" spans="1:8" x14ac:dyDescent="0.3">
      <c r="A1196">
        <v>31</v>
      </c>
      <c r="B1196" t="s">
        <v>7</v>
      </c>
      <c r="C1196">
        <v>21.754999999999999</v>
      </c>
      <c r="D1196" t="str">
        <f t="shared" si="19"/>
        <v>Normal</v>
      </c>
      <c r="E1196">
        <v>0</v>
      </c>
      <c r="F1196" t="s">
        <v>11</v>
      </c>
      <c r="G1196" t="s">
        <v>13</v>
      </c>
      <c r="H1196">
        <v>4134.0824499999999</v>
      </c>
    </row>
    <row r="1197" spans="1:8" x14ac:dyDescent="0.3">
      <c r="A1197">
        <v>19</v>
      </c>
      <c r="B1197" t="s">
        <v>7</v>
      </c>
      <c r="C1197">
        <v>27.93</v>
      </c>
      <c r="D1197" t="str">
        <f t="shared" si="19"/>
        <v>Overweight</v>
      </c>
      <c r="E1197">
        <v>3</v>
      </c>
      <c r="F1197" t="s">
        <v>11</v>
      </c>
      <c r="G1197" t="s">
        <v>13</v>
      </c>
      <c r="H1197">
        <v>18838.703659999999</v>
      </c>
    </row>
    <row r="1198" spans="1:8" x14ac:dyDescent="0.3">
      <c r="A1198">
        <v>19</v>
      </c>
      <c r="B1198" t="s">
        <v>7</v>
      </c>
      <c r="C1198">
        <v>30.02</v>
      </c>
      <c r="D1198" t="str">
        <f t="shared" si="19"/>
        <v>Obese</v>
      </c>
      <c r="E1198">
        <v>0</v>
      </c>
      <c r="F1198" t="s">
        <v>8</v>
      </c>
      <c r="G1198" t="s">
        <v>13</v>
      </c>
      <c r="H1198">
        <v>33307.550799999997</v>
      </c>
    </row>
    <row r="1199" spans="1:8" x14ac:dyDescent="0.3">
      <c r="A1199">
        <v>41</v>
      </c>
      <c r="B1199" t="s">
        <v>10</v>
      </c>
      <c r="C1199">
        <v>33.549999999999997</v>
      </c>
      <c r="D1199" t="str">
        <f t="shared" si="19"/>
        <v>Obese</v>
      </c>
      <c r="E1199">
        <v>0</v>
      </c>
      <c r="F1199" t="s">
        <v>11</v>
      </c>
      <c r="G1199" t="s">
        <v>12</v>
      </c>
      <c r="H1199">
        <v>5699.8374999999996</v>
      </c>
    </row>
    <row r="1200" spans="1:8" x14ac:dyDescent="0.3">
      <c r="A1200">
        <v>40</v>
      </c>
      <c r="B1200" t="s">
        <v>10</v>
      </c>
      <c r="C1200">
        <v>29.355</v>
      </c>
      <c r="D1200" t="str">
        <f t="shared" si="19"/>
        <v>Overweight</v>
      </c>
      <c r="E1200">
        <v>1</v>
      </c>
      <c r="F1200" t="s">
        <v>11</v>
      </c>
      <c r="G1200" t="s">
        <v>13</v>
      </c>
      <c r="H1200">
        <v>6393.6034499999996</v>
      </c>
    </row>
    <row r="1201" spans="1:8" x14ac:dyDescent="0.3">
      <c r="A1201">
        <v>31</v>
      </c>
      <c r="B1201" t="s">
        <v>7</v>
      </c>
      <c r="C1201">
        <v>25.8</v>
      </c>
      <c r="D1201" t="str">
        <f t="shared" si="19"/>
        <v>Overweight</v>
      </c>
      <c r="E1201">
        <v>2</v>
      </c>
      <c r="F1201" t="s">
        <v>11</v>
      </c>
      <c r="G1201" t="s">
        <v>9</v>
      </c>
      <c r="H1201">
        <v>4934.7049999999999</v>
      </c>
    </row>
    <row r="1202" spans="1:8" x14ac:dyDescent="0.3">
      <c r="A1202">
        <v>37</v>
      </c>
      <c r="B1202" t="s">
        <v>10</v>
      </c>
      <c r="C1202">
        <v>24.32</v>
      </c>
      <c r="D1202" t="str">
        <f t="shared" si="19"/>
        <v>Normal</v>
      </c>
      <c r="E1202">
        <v>2</v>
      </c>
      <c r="F1202" t="s">
        <v>11</v>
      </c>
      <c r="G1202" t="s">
        <v>13</v>
      </c>
      <c r="H1202">
        <v>6198.7518</v>
      </c>
    </row>
    <row r="1203" spans="1:8" x14ac:dyDescent="0.3">
      <c r="A1203">
        <v>46</v>
      </c>
      <c r="B1203" t="s">
        <v>10</v>
      </c>
      <c r="C1203">
        <v>40.375</v>
      </c>
      <c r="D1203" t="str">
        <f t="shared" si="19"/>
        <v>Obese</v>
      </c>
      <c r="E1203">
        <v>2</v>
      </c>
      <c r="F1203" t="s">
        <v>11</v>
      </c>
      <c r="G1203" t="s">
        <v>13</v>
      </c>
      <c r="H1203">
        <v>8733.2292500000003</v>
      </c>
    </row>
    <row r="1204" spans="1:8" x14ac:dyDescent="0.3">
      <c r="A1204">
        <v>22</v>
      </c>
      <c r="B1204" t="s">
        <v>10</v>
      </c>
      <c r="C1204">
        <v>32.11</v>
      </c>
      <c r="D1204" t="str">
        <f t="shared" si="19"/>
        <v>Obese</v>
      </c>
      <c r="E1204">
        <v>0</v>
      </c>
      <c r="F1204" t="s">
        <v>11</v>
      </c>
      <c r="G1204" t="s">
        <v>13</v>
      </c>
      <c r="H1204">
        <v>2055.3249000000001</v>
      </c>
    </row>
    <row r="1205" spans="1:8" x14ac:dyDescent="0.3">
      <c r="A1205">
        <v>51</v>
      </c>
      <c r="B1205" t="s">
        <v>10</v>
      </c>
      <c r="C1205">
        <v>32.299999999999997</v>
      </c>
      <c r="D1205" t="str">
        <f t="shared" si="19"/>
        <v>Obese</v>
      </c>
      <c r="E1205">
        <v>1</v>
      </c>
      <c r="F1205" t="s">
        <v>11</v>
      </c>
      <c r="G1205" t="s">
        <v>14</v>
      </c>
      <c r="H1205">
        <v>9964.06</v>
      </c>
    </row>
    <row r="1206" spans="1:8" x14ac:dyDescent="0.3">
      <c r="A1206">
        <v>18</v>
      </c>
      <c r="B1206" t="s">
        <v>7</v>
      </c>
      <c r="C1206">
        <v>27.28</v>
      </c>
      <c r="D1206" t="str">
        <f t="shared" si="19"/>
        <v>Overweight</v>
      </c>
      <c r="E1206">
        <v>3</v>
      </c>
      <c r="F1206" t="s">
        <v>8</v>
      </c>
      <c r="G1206" t="s">
        <v>12</v>
      </c>
      <c r="H1206">
        <v>18223.4512</v>
      </c>
    </row>
    <row r="1207" spans="1:8" x14ac:dyDescent="0.3">
      <c r="A1207">
        <v>35</v>
      </c>
      <c r="B1207" t="s">
        <v>10</v>
      </c>
      <c r="C1207">
        <v>17.86</v>
      </c>
      <c r="D1207" t="str">
        <f t="shared" si="19"/>
        <v>Underweight</v>
      </c>
      <c r="E1207">
        <v>1</v>
      </c>
      <c r="F1207" t="s">
        <v>11</v>
      </c>
      <c r="G1207" t="s">
        <v>13</v>
      </c>
      <c r="H1207">
        <v>5116.5003999999999</v>
      </c>
    </row>
    <row r="1208" spans="1:8" x14ac:dyDescent="0.3">
      <c r="A1208">
        <v>59</v>
      </c>
      <c r="B1208" t="s">
        <v>7</v>
      </c>
      <c r="C1208">
        <v>34.799999999999997</v>
      </c>
      <c r="D1208" t="str">
        <f t="shared" si="19"/>
        <v>Obese</v>
      </c>
      <c r="E1208">
        <v>2</v>
      </c>
      <c r="F1208" t="s">
        <v>11</v>
      </c>
      <c r="G1208" t="s">
        <v>9</v>
      </c>
      <c r="H1208">
        <v>36910.608030000003</v>
      </c>
    </row>
    <row r="1209" spans="1:8" x14ac:dyDescent="0.3">
      <c r="A1209">
        <v>36</v>
      </c>
      <c r="B1209" t="s">
        <v>10</v>
      </c>
      <c r="C1209">
        <v>33.4</v>
      </c>
      <c r="D1209" t="str">
        <f t="shared" si="19"/>
        <v>Obese</v>
      </c>
      <c r="E1209">
        <v>2</v>
      </c>
      <c r="F1209" t="s">
        <v>8</v>
      </c>
      <c r="G1209" t="s">
        <v>9</v>
      </c>
      <c r="H1209">
        <v>38415.474000000002</v>
      </c>
    </row>
    <row r="1210" spans="1:8" x14ac:dyDescent="0.3">
      <c r="A1210">
        <v>37</v>
      </c>
      <c r="B1210" t="s">
        <v>7</v>
      </c>
      <c r="C1210">
        <v>25.555</v>
      </c>
      <c r="D1210" t="str">
        <f t="shared" si="19"/>
        <v>Overweight</v>
      </c>
      <c r="E1210">
        <v>1</v>
      </c>
      <c r="F1210" t="s">
        <v>8</v>
      </c>
      <c r="G1210" t="s">
        <v>14</v>
      </c>
      <c r="H1210">
        <v>20296.863450000001</v>
      </c>
    </row>
    <row r="1211" spans="1:8" x14ac:dyDescent="0.3">
      <c r="A1211">
        <v>59</v>
      </c>
      <c r="B1211" t="s">
        <v>10</v>
      </c>
      <c r="C1211">
        <v>37.1</v>
      </c>
      <c r="D1211" t="str">
        <f t="shared" si="19"/>
        <v>Obese</v>
      </c>
      <c r="E1211">
        <v>1</v>
      </c>
      <c r="F1211" t="s">
        <v>11</v>
      </c>
      <c r="G1211" t="s">
        <v>9</v>
      </c>
      <c r="H1211">
        <v>12347.172</v>
      </c>
    </row>
    <row r="1212" spans="1:8" x14ac:dyDescent="0.3">
      <c r="A1212">
        <v>36</v>
      </c>
      <c r="B1212" t="s">
        <v>10</v>
      </c>
      <c r="C1212">
        <v>30.875</v>
      </c>
      <c r="D1212" t="str">
        <f t="shared" si="19"/>
        <v>Obese</v>
      </c>
      <c r="E1212">
        <v>1</v>
      </c>
      <c r="F1212" t="s">
        <v>11</v>
      </c>
      <c r="G1212" t="s">
        <v>13</v>
      </c>
      <c r="H1212">
        <v>5373.3642499999996</v>
      </c>
    </row>
    <row r="1213" spans="1:8" x14ac:dyDescent="0.3">
      <c r="A1213">
        <v>39</v>
      </c>
      <c r="B1213" t="s">
        <v>10</v>
      </c>
      <c r="C1213">
        <v>34.1</v>
      </c>
      <c r="D1213" t="str">
        <f t="shared" si="19"/>
        <v>Obese</v>
      </c>
      <c r="E1213">
        <v>2</v>
      </c>
      <c r="F1213" t="s">
        <v>11</v>
      </c>
      <c r="G1213" t="s">
        <v>12</v>
      </c>
      <c r="H1213">
        <v>23563.016179999999</v>
      </c>
    </row>
    <row r="1214" spans="1:8" x14ac:dyDescent="0.3">
      <c r="A1214">
        <v>18</v>
      </c>
      <c r="B1214" t="s">
        <v>10</v>
      </c>
      <c r="C1214">
        <v>21.47</v>
      </c>
      <c r="D1214" t="str">
        <f t="shared" si="19"/>
        <v>Normal</v>
      </c>
      <c r="E1214">
        <v>0</v>
      </c>
      <c r="F1214" t="s">
        <v>11</v>
      </c>
      <c r="G1214" t="s">
        <v>14</v>
      </c>
      <c r="H1214">
        <v>1702.4553000000001</v>
      </c>
    </row>
    <row r="1215" spans="1:8" x14ac:dyDescent="0.3">
      <c r="A1215">
        <v>52</v>
      </c>
      <c r="B1215" t="s">
        <v>7</v>
      </c>
      <c r="C1215">
        <v>33.299999999999997</v>
      </c>
      <c r="D1215" t="str">
        <f t="shared" si="19"/>
        <v>Obese</v>
      </c>
      <c r="E1215">
        <v>2</v>
      </c>
      <c r="F1215" t="s">
        <v>11</v>
      </c>
      <c r="G1215" t="s">
        <v>9</v>
      </c>
      <c r="H1215">
        <v>10806.839</v>
      </c>
    </row>
    <row r="1216" spans="1:8" x14ac:dyDescent="0.3">
      <c r="A1216">
        <v>27</v>
      </c>
      <c r="B1216" t="s">
        <v>7</v>
      </c>
      <c r="C1216">
        <v>31.254999999999999</v>
      </c>
      <c r="D1216" t="str">
        <f t="shared" si="19"/>
        <v>Obese</v>
      </c>
      <c r="E1216">
        <v>1</v>
      </c>
      <c r="F1216" t="s">
        <v>11</v>
      </c>
      <c r="G1216" t="s">
        <v>13</v>
      </c>
      <c r="H1216">
        <v>3956.0714499999999</v>
      </c>
    </row>
    <row r="1217" spans="1:8" x14ac:dyDescent="0.3">
      <c r="A1217">
        <v>18</v>
      </c>
      <c r="B1217" t="s">
        <v>10</v>
      </c>
      <c r="C1217">
        <v>39.14</v>
      </c>
      <c r="D1217" t="str">
        <f t="shared" si="19"/>
        <v>Obese</v>
      </c>
      <c r="E1217">
        <v>0</v>
      </c>
      <c r="F1217" t="s">
        <v>11</v>
      </c>
      <c r="G1217" t="s">
        <v>14</v>
      </c>
      <c r="H1217">
        <v>12890.057650000001</v>
      </c>
    </row>
    <row r="1218" spans="1:8" x14ac:dyDescent="0.3">
      <c r="A1218">
        <v>40</v>
      </c>
      <c r="B1218" t="s">
        <v>10</v>
      </c>
      <c r="C1218">
        <v>25.08</v>
      </c>
      <c r="D1218" t="str">
        <f t="shared" si="19"/>
        <v>Overweight</v>
      </c>
      <c r="E1218">
        <v>0</v>
      </c>
      <c r="F1218" t="s">
        <v>11</v>
      </c>
      <c r="G1218" t="s">
        <v>12</v>
      </c>
      <c r="H1218">
        <v>5415.6611999999996</v>
      </c>
    </row>
    <row r="1219" spans="1:8" x14ac:dyDescent="0.3">
      <c r="A1219">
        <v>29</v>
      </c>
      <c r="B1219" t="s">
        <v>10</v>
      </c>
      <c r="C1219">
        <v>37.29</v>
      </c>
      <c r="D1219" t="str">
        <f t="shared" si="19"/>
        <v>Obese</v>
      </c>
      <c r="E1219">
        <v>2</v>
      </c>
      <c r="F1219" t="s">
        <v>11</v>
      </c>
      <c r="G1219" t="s">
        <v>12</v>
      </c>
      <c r="H1219">
        <v>4058.1161000000002</v>
      </c>
    </row>
    <row r="1220" spans="1:8" x14ac:dyDescent="0.3">
      <c r="A1220">
        <v>46</v>
      </c>
      <c r="B1220" t="s">
        <v>7</v>
      </c>
      <c r="C1220">
        <v>34.6</v>
      </c>
      <c r="D1220" t="str">
        <f t="shared" si="19"/>
        <v>Obese</v>
      </c>
      <c r="E1220">
        <v>1</v>
      </c>
      <c r="F1220" t="s">
        <v>8</v>
      </c>
      <c r="G1220" t="s">
        <v>9</v>
      </c>
      <c r="H1220">
        <v>41661.601999999999</v>
      </c>
    </row>
    <row r="1221" spans="1:8" x14ac:dyDescent="0.3">
      <c r="A1221">
        <v>38</v>
      </c>
      <c r="B1221" t="s">
        <v>7</v>
      </c>
      <c r="C1221">
        <v>30.21</v>
      </c>
      <c r="D1221" t="str">
        <f t="shared" si="19"/>
        <v>Obese</v>
      </c>
      <c r="E1221">
        <v>3</v>
      </c>
      <c r="F1221" t="s">
        <v>11</v>
      </c>
      <c r="G1221" t="s">
        <v>13</v>
      </c>
      <c r="H1221">
        <v>7537.1638999999996</v>
      </c>
    </row>
    <row r="1222" spans="1:8" x14ac:dyDescent="0.3">
      <c r="A1222">
        <v>30</v>
      </c>
      <c r="B1222" t="s">
        <v>7</v>
      </c>
      <c r="C1222">
        <v>21.945</v>
      </c>
      <c r="D1222" t="str">
        <f t="shared" si="19"/>
        <v>Normal</v>
      </c>
      <c r="E1222">
        <v>1</v>
      </c>
      <c r="F1222" t="s">
        <v>11</v>
      </c>
      <c r="G1222" t="s">
        <v>14</v>
      </c>
      <c r="H1222">
        <v>4718.2035500000002</v>
      </c>
    </row>
    <row r="1223" spans="1:8" x14ac:dyDescent="0.3">
      <c r="A1223">
        <v>40</v>
      </c>
      <c r="B1223" t="s">
        <v>10</v>
      </c>
      <c r="C1223">
        <v>24.97</v>
      </c>
      <c r="D1223" t="str">
        <f t="shared" si="19"/>
        <v>Overweight</v>
      </c>
      <c r="E1223">
        <v>2</v>
      </c>
      <c r="F1223" t="s">
        <v>11</v>
      </c>
      <c r="G1223" t="s">
        <v>12</v>
      </c>
      <c r="H1223">
        <v>6593.5083000000004</v>
      </c>
    </row>
    <row r="1224" spans="1:8" x14ac:dyDescent="0.3">
      <c r="A1224">
        <v>50</v>
      </c>
      <c r="B1224" t="s">
        <v>10</v>
      </c>
      <c r="C1224">
        <v>25.3</v>
      </c>
      <c r="D1224" t="str">
        <f t="shared" si="19"/>
        <v>Overweight</v>
      </c>
      <c r="E1224">
        <v>0</v>
      </c>
      <c r="F1224" t="s">
        <v>11</v>
      </c>
      <c r="G1224" t="s">
        <v>12</v>
      </c>
      <c r="H1224">
        <v>8442.6669999999995</v>
      </c>
    </row>
    <row r="1225" spans="1:8" x14ac:dyDescent="0.3">
      <c r="A1225">
        <v>20</v>
      </c>
      <c r="B1225" t="s">
        <v>7</v>
      </c>
      <c r="C1225">
        <v>24.42</v>
      </c>
      <c r="D1225" t="str">
        <f t="shared" si="19"/>
        <v>Normal</v>
      </c>
      <c r="E1225">
        <v>0</v>
      </c>
      <c r="F1225" t="s">
        <v>8</v>
      </c>
      <c r="G1225" t="s">
        <v>12</v>
      </c>
      <c r="H1225">
        <v>26125.674770000001</v>
      </c>
    </row>
    <row r="1226" spans="1:8" x14ac:dyDescent="0.3">
      <c r="A1226">
        <v>41</v>
      </c>
      <c r="B1226" t="s">
        <v>10</v>
      </c>
      <c r="C1226">
        <v>23.94</v>
      </c>
      <c r="D1226" t="str">
        <f t="shared" si="19"/>
        <v>Normal</v>
      </c>
      <c r="E1226">
        <v>1</v>
      </c>
      <c r="F1226" t="s">
        <v>11</v>
      </c>
      <c r="G1226" t="s">
        <v>14</v>
      </c>
      <c r="H1226">
        <v>6858.4795999999997</v>
      </c>
    </row>
    <row r="1227" spans="1:8" x14ac:dyDescent="0.3">
      <c r="A1227">
        <v>33</v>
      </c>
      <c r="B1227" t="s">
        <v>7</v>
      </c>
      <c r="C1227">
        <v>39.82</v>
      </c>
      <c r="D1227" t="str">
        <f t="shared" si="19"/>
        <v>Obese</v>
      </c>
      <c r="E1227">
        <v>1</v>
      </c>
      <c r="F1227" t="s">
        <v>11</v>
      </c>
      <c r="G1227" t="s">
        <v>12</v>
      </c>
      <c r="H1227">
        <v>4795.6567999999997</v>
      </c>
    </row>
    <row r="1228" spans="1:8" x14ac:dyDescent="0.3">
      <c r="A1228">
        <v>38</v>
      </c>
      <c r="B1228" t="s">
        <v>10</v>
      </c>
      <c r="C1228">
        <v>16.815000000000001</v>
      </c>
      <c r="D1228" t="str">
        <f t="shared" si="19"/>
        <v>Underweight</v>
      </c>
      <c r="E1228">
        <v>2</v>
      </c>
      <c r="F1228" t="s">
        <v>11</v>
      </c>
      <c r="G1228" t="s">
        <v>14</v>
      </c>
      <c r="H1228">
        <v>6640.5448500000002</v>
      </c>
    </row>
    <row r="1229" spans="1:8" x14ac:dyDescent="0.3">
      <c r="A1229">
        <v>42</v>
      </c>
      <c r="B1229" t="s">
        <v>10</v>
      </c>
      <c r="C1229">
        <v>37.18</v>
      </c>
      <c r="D1229" t="str">
        <f t="shared" si="19"/>
        <v>Obese</v>
      </c>
      <c r="E1229">
        <v>2</v>
      </c>
      <c r="F1229" t="s">
        <v>11</v>
      </c>
      <c r="G1229" t="s">
        <v>12</v>
      </c>
      <c r="H1229">
        <v>7162.0122000000001</v>
      </c>
    </row>
    <row r="1230" spans="1:8" x14ac:dyDescent="0.3">
      <c r="A1230">
        <v>56</v>
      </c>
      <c r="B1230" t="s">
        <v>10</v>
      </c>
      <c r="C1230">
        <v>34.43</v>
      </c>
      <c r="D1230" t="str">
        <f t="shared" si="19"/>
        <v>Obese</v>
      </c>
      <c r="E1230">
        <v>0</v>
      </c>
      <c r="F1230" t="s">
        <v>11</v>
      </c>
      <c r="G1230" t="s">
        <v>12</v>
      </c>
      <c r="H1230">
        <v>10594.225700000001</v>
      </c>
    </row>
    <row r="1231" spans="1:8" x14ac:dyDescent="0.3">
      <c r="A1231">
        <v>58</v>
      </c>
      <c r="B1231" t="s">
        <v>10</v>
      </c>
      <c r="C1231">
        <v>30.305</v>
      </c>
      <c r="D1231" t="str">
        <f t="shared" si="19"/>
        <v>Obese</v>
      </c>
      <c r="E1231">
        <v>0</v>
      </c>
      <c r="F1231" t="s">
        <v>11</v>
      </c>
      <c r="G1231" t="s">
        <v>14</v>
      </c>
      <c r="H1231">
        <v>11938.255950000001</v>
      </c>
    </row>
    <row r="1232" spans="1:8" x14ac:dyDescent="0.3">
      <c r="A1232">
        <v>52</v>
      </c>
      <c r="B1232" t="s">
        <v>10</v>
      </c>
      <c r="C1232">
        <v>34.484999999999999</v>
      </c>
      <c r="D1232" t="str">
        <f t="shared" si="19"/>
        <v>Obese</v>
      </c>
      <c r="E1232">
        <v>3</v>
      </c>
      <c r="F1232" t="s">
        <v>8</v>
      </c>
      <c r="G1232" t="s">
        <v>13</v>
      </c>
      <c r="H1232">
        <v>60021.398970000002</v>
      </c>
    </row>
    <row r="1233" spans="1:8" x14ac:dyDescent="0.3">
      <c r="A1233">
        <v>20</v>
      </c>
      <c r="B1233" t="s">
        <v>7</v>
      </c>
      <c r="C1233">
        <v>21.8</v>
      </c>
      <c r="D1233" t="str">
        <f t="shared" si="19"/>
        <v>Normal</v>
      </c>
      <c r="E1233">
        <v>0</v>
      </c>
      <c r="F1233" t="s">
        <v>8</v>
      </c>
      <c r="G1233" t="s">
        <v>9</v>
      </c>
      <c r="H1233">
        <v>20167.336029999999</v>
      </c>
    </row>
    <row r="1234" spans="1:8" x14ac:dyDescent="0.3">
      <c r="A1234">
        <v>54</v>
      </c>
      <c r="B1234" t="s">
        <v>7</v>
      </c>
      <c r="C1234">
        <v>24.605</v>
      </c>
      <c r="D1234" t="str">
        <f t="shared" si="19"/>
        <v>Normal</v>
      </c>
      <c r="E1234">
        <v>3</v>
      </c>
      <c r="F1234" t="s">
        <v>11</v>
      </c>
      <c r="G1234" t="s">
        <v>13</v>
      </c>
      <c r="H1234">
        <v>12479.70895</v>
      </c>
    </row>
    <row r="1235" spans="1:8" x14ac:dyDescent="0.3">
      <c r="A1235">
        <v>58</v>
      </c>
      <c r="B1235" t="s">
        <v>10</v>
      </c>
      <c r="C1235">
        <v>23.3</v>
      </c>
      <c r="D1235" t="str">
        <f t="shared" si="19"/>
        <v>Normal</v>
      </c>
      <c r="E1235">
        <v>0</v>
      </c>
      <c r="F1235" t="s">
        <v>11</v>
      </c>
      <c r="G1235" t="s">
        <v>9</v>
      </c>
      <c r="H1235">
        <v>11345.519</v>
      </c>
    </row>
    <row r="1236" spans="1:8" x14ac:dyDescent="0.3">
      <c r="A1236">
        <v>45</v>
      </c>
      <c r="B1236" t="s">
        <v>7</v>
      </c>
      <c r="C1236">
        <v>27.83</v>
      </c>
      <c r="D1236" t="str">
        <f t="shared" si="19"/>
        <v>Overweight</v>
      </c>
      <c r="E1236">
        <v>2</v>
      </c>
      <c r="F1236" t="s">
        <v>11</v>
      </c>
      <c r="G1236" t="s">
        <v>12</v>
      </c>
      <c r="H1236">
        <v>8515.7587000000003</v>
      </c>
    </row>
    <row r="1237" spans="1:8" x14ac:dyDescent="0.3">
      <c r="A1237">
        <v>26</v>
      </c>
      <c r="B1237" t="s">
        <v>10</v>
      </c>
      <c r="C1237">
        <v>31.065000000000001</v>
      </c>
      <c r="D1237" t="str">
        <f t="shared" ref="D1237:D1300" si="20">IF(C1237&lt;18.5,"Underweight",IF(C1237&lt;24.9,"Normal",IF(C1237&lt;30,"Overweight","Obese")))</f>
        <v>Obese</v>
      </c>
      <c r="E1237">
        <v>0</v>
      </c>
      <c r="F1237" t="s">
        <v>11</v>
      </c>
      <c r="G1237" t="s">
        <v>13</v>
      </c>
      <c r="H1237">
        <v>2699.56835</v>
      </c>
    </row>
    <row r="1238" spans="1:8" x14ac:dyDescent="0.3">
      <c r="A1238">
        <v>63</v>
      </c>
      <c r="B1238" t="s">
        <v>7</v>
      </c>
      <c r="C1238">
        <v>21.66</v>
      </c>
      <c r="D1238" t="str">
        <f t="shared" si="20"/>
        <v>Normal</v>
      </c>
      <c r="E1238">
        <v>0</v>
      </c>
      <c r="F1238" t="s">
        <v>11</v>
      </c>
      <c r="G1238" t="s">
        <v>14</v>
      </c>
      <c r="H1238">
        <v>14449.8544</v>
      </c>
    </row>
    <row r="1239" spans="1:8" x14ac:dyDescent="0.3">
      <c r="A1239">
        <v>58</v>
      </c>
      <c r="B1239" t="s">
        <v>7</v>
      </c>
      <c r="C1239">
        <v>28.215</v>
      </c>
      <c r="D1239" t="str">
        <f t="shared" si="20"/>
        <v>Overweight</v>
      </c>
      <c r="E1239">
        <v>0</v>
      </c>
      <c r="F1239" t="s">
        <v>11</v>
      </c>
      <c r="G1239" t="s">
        <v>13</v>
      </c>
      <c r="H1239">
        <v>12224.350850000001</v>
      </c>
    </row>
    <row r="1240" spans="1:8" x14ac:dyDescent="0.3">
      <c r="A1240">
        <v>37</v>
      </c>
      <c r="B1240" t="s">
        <v>10</v>
      </c>
      <c r="C1240">
        <v>22.704999999999998</v>
      </c>
      <c r="D1240" t="str">
        <f t="shared" si="20"/>
        <v>Normal</v>
      </c>
      <c r="E1240">
        <v>3</v>
      </c>
      <c r="F1240" t="s">
        <v>11</v>
      </c>
      <c r="G1240" t="s">
        <v>14</v>
      </c>
      <c r="H1240">
        <v>6985.50695</v>
      </c>
    </row>
    <row r="1241" spans="1:8" x14ac:dyDescent="0.3">
      <c r="A1241">
        <v>25</v>
      </c>
      <c r="B1241" t="s">
        <v>7</v>
      </c>
      <c r="C1241">
        <v>42.13</v>
      </c>
      <c r="D1241" t="str">
        <f t="shared" si="20"/>
        <v>Obese</v>
      </c>
      <c r="E1241">
        <v>1</v>
      </c>
      <c r="F1241" t="s">
        <v>11</v>
      </c>
      <c r="G1241" t="s">
        <v>12</v>
      </c>
      <c r="H1241">
        <v>3238.4357</v>
      </c>
    </row>
    <row r="1242" spans="1:8" x14ac:dyDescent="0.3">
      <c r="A1242">
        <v>52</v>
      </c>
      <c r="B1242" t="s">
        <v>10</v>
      </c>
      <c r="C1242">
        <v>41.8</v>
      </c>
      <c r="D1242" t="str">
        <f t="shared" si="20"/>
        <v>Obese</v>
      </c>
      <c r="E1242">
        <v>2</v>
      </c>
      <c r="F1242" t="s">
        <v>8</v>
      </c>
      <c r="G1242" t="s">
        <v>12</v>
      </c>
      <c r="H1242">
        <v>47269.853999999999</v>
      </c>
    </row>
    <row r="1243" spans="1:8" x14ac:dyDescent="0.3">
      <c r="A1243">
        <v>64</v>
      </c>
      <c r="B1243" t="s">
        <v>10</v>
      </c>
      <c r="C1243">
        <v>36.96</v>
      </c>
      <c r="D1243" t="str">
        <f t="shared" si="20"/>
        <v>Obese</v>
      </c>
      <c r="E1243">
        <v>2</v>
      </c>
      <c r="F1243" t="s">
        <v>8</v>
      </c>
      <c r="G1243" t="s">
        <v>12</v>
      </c>
      <c r="H1243">
        <v>49577.662400000001</v>
      </c>
    </row>
    <row r="1244" spans="1:8" x14ac:dyDescent="0.3">
      <c r="A1244">
        <v>22</v>
      </c>
      <c r="B1244" t="s">
        <v>7</v>
      </c>
      <c r="C1244">
        <v>21.28</v>
      </c>
      <c r="D1244" t="str">
        <f t="shared" si="20"/>
        <v>Normal</v>
      </c>
      <c r="E1244">
        <v>3</v>
      </c>
      <c r="F1244" t="s">
        <v>11</v>
      </c>
      <c r="G1244" t="s">
        <v>13</v>
      </c>
      <c r="H1244">
        <v>4296.2712000000001</v>
      </c>
    </row>
    <row r="1245" spans="1:8" x14ac:dyDescent="0.3">
      <c r="A1245">
        <v>28</v>
      </c>
      <c r="B1245" t="s">
        <v>7</v>
      </c>
      <c r="C1245">
        <v>33.11</v>
      </c>
      <c r="D1245" t="str">
        <f t="shared" si="20"/>
        <v>Obese</v>
      </c>
      <c r="E1245">
        <v>0</v>
      </c>
      <c r="F1245" t="s">
        <v>11</v>
      </c>
      <c r="G1245" t="s">
        <v>12</v>
      </c>
      <c r="H1245">
        <v>3171.6149</v>
      </c>
    </row>
    <row r="1246" spans="1:8" x14ac:dyDescent="0.3">
      <c r="A1246">
        <v>18</v>
      </c>
      <c r="B1246" t="s">
        <v>10</v>
      </c>
      <c r="C1246">
        <v>33.33</v>
      </c>
      <c r="D1246" t="str">
        <f t="shared" si="20"/>
        <v>Obese</v>
      </c>
      <c r="E1246">
        <v>0</v>
      </c>
      <c r="F1246" t="s">
        <v>11</v>
      </c>
      <c r="G1246" t="s">
        <v>12</v>
      </c>
      <c r="H1246">
        <v>1135.9407000000001</v>
      </c>
    </row>
    <row r="1247" spans="1:8" x14ac:dyDescent="0.3">
      <c r="A1247">
        <v>28</v>
      </c>
      <c r="B1247" t="s">
        <v>10</v>
      </c>
      <c r="C1247">
        <v>24.3</v>
      </c>
      <c r="D1247" t="str">
        <f t="shared" si="20"/>
        <v>Normal</v>
      </c>
      <c r="E1247">
        <v>5</v>
      </c>
      <c r="F1247" t="s">
        <v>11</v>
      </c>
      <c r="G1247" t="s">
        <v>9</v>
      </c>
      <c r="H1247">
        <v>5615.3689999999997</v>
      </c>
    </row>
    <row r="1248" spans="1:8" x14ac:dyDescent="0.3">
      <c r="A1248">
        <v>45</v>
      </c>
      <c r="B1248" t="s">
        <v>7</v>
      </c>
      <c r="C1248">
        <v>25.7</v>
      </c>
      <c r="D1248" t="str">
        <f t="shared" si="20"/>
        <v>Overweight</v>
      </c>
      <c r="E1248">
        <v>3</v>
      </c>
      <c r="F1248" t="s">
        <v>11</v>
      </c>
      <c r="G1248" t="s">
        <v>9</v>
      </c>
      <c r="H1248">
        <v>9101.7980000000007</v>
      </c>
    </row>
    <row r="1249" spans="1:8" x14ac:dyDescent="0.3">
      <c r="A1249">
        <v>33</v>
      </c>
      <c r="B1249" t="s">
        <v>10</v>
      </c>
      <c r="C1249">
        <v>29.4</v>
      </c>
      <c r="D1249" t="str">
        <f t="shared" si="20"/>
        <v>Overweight</v>
      </c>
      <c r="E1249">
        <v>4</v>
      </c>
      <c r="F1249" t="s">
        <v>11</v>
      </c>
      <c r="G1249" t="s">
        <v>9</v>
      </c>
      <c r="H1249">
        <v>6059.1729999999998</v>
      </c>
    </row>
    <row r="1250" spans="1:8" x14ac:dyDescent="0.3">
      <c r="A1250">
        <v>18</v>
      </c>
      <c r="B1250" t="s">
        <v>7</v>
      </c>
      <c r="C1250">
        <v>39.82</v>
      </c>
      <c r="D1250" t="str">
        <f t="shared" si="20"/>
        <v>Obese</v>
      </c>
      <c r="E1250">
        <v>0</v>
      </c>
      <c r="F1250" t="s">
        <v>11</v>
      </c>
      <c r="G1250" t="s">
        <v>12</v>
      </c>
      <c r="H1250">
        <v>1633.9618</v>
      </c>
    </row>
    <row r="1251" spans="1:8" x14ac:dyDescent="0.3">
      <c r="A1251">
        <v>32</v>
      </c>
      <c r="B1251" t="s">
        <v>10</v>
      </c>
      <c r="C1251">
        <v>33.630000000000003</v>
      </c>
      <c r="D1251" t="str">
        <f t="shared" si="20"/>
        <v>Obese</v>
      </c>
      <c r="E1251">
        <v>1</v>
      </c>
      <c r="F1251" t="s">
        <v>8</v>
      </c>
      <c r="G1251" t="s">
        <v>14</v>
      </c>
      <c r="H1251">
        <v>37607.527699999999</v>
      </c>
    </row>
    <row r="1252" spans="1:8" x14ac:dyDescent="0.3">
      <c r="A1252">
        <v>24</v>
      </c>
      <c r="B1252" t="s">
        <v>10</v>
      </c>
      <c r="C1252">
        <v>29.83</v>
      </c>
      <c r="D1252" t="str">
        <f t="shared" si="20"/>
        <v>Overweight</v>
      </c>
      <c r="E1252">
        <v>0</v>
      </c>
      <c r="F1252" t="s">
        <v>8</v>
      </c>
      <c r="G1252" t="s">
        <v>14</v>
      </c>
      <c r="H1252">
        <v>18648.421699999999</v>
      </c>
    </row>
    <row r="1253" spans="1:8" x14ac:dyDescent="0.3">
      <c r="A1253">
        <v>19</v>
      </c>
      <c r="B1253" t="s">
        <v>10</v>
      </c>
      <c r="C1253">
        <v>19.8</v>
      </c>
      <c r="D1253" t="str">
        <f t="shared" si="20"/>
        <v>Normal</v>
      </c>
      <c r="E1253">
        <v>0</v>
      </c>
      <c r="F1253" t="s">
        <v>11</v>
      </c>
      <c r="G1253" t="s">
        <v>9</v>
      </c>
      <c r="H1253">
        <v>1241.5650000000001</v>
      </c>
    </row>
    <row r="1254" spans="1:8" x14ac:dyDescent="0.3">
      <c r="A1254">
        <v>20</v>
      </c>
      <c r="B1254" t="s">
        <v>10</v>
      </c>
      <c r="C1254">
        <v>27.3</v>
      </c>
      <c r="D1254" t="str">
        <f t="shared" si="20"/>
        <v>Overweight</v>
      </c>
      <c r="E1254">
        <v>0</v>
      </c>
      <c r="F1254" t="s">
        <v>8</v>
      </c>
      <c r="G1254" t="s">
        <v>9</v>
      </c>
      <c r="H1254">
        <v>16232.847</v>
      </c>
    </row>
    <row r="1255" spans="1:8" x14ac:dyDescent="0.3">
      <c r="A1255">
        <v>40</v>
      </c>
      <c r="B1255" t="s">
        <v>7</v>
      </c>
      <c r="C1255">
        <v>29.3</v>
      </c>
      <c r="D1255" t="str">
        <f t="shared" si="20"/>
        <v>Overweight</v>
      </c>
      <c r="E1255">
        <v>4</v>
      </c>
      <c r="F1255" t="s">
        <v>11</v>
      </c>
      <c r="G1255" t="s">
        <v>9</v>
      </c>
      <c r="H1255">
        <v>15828.82173</v>
      </c>
    </row>
    <row r="1256" spans="1:8" x14ac:dyDescent="0.3">
      <c r="A1256">
        <v>34</v>
      </c>
      <c r="B1256" t="s">
        <v>7</v>
      </c>
      <c r="C1256">
        <v>27.72</v>
      </c>
      <c r="D1256" t="str">
        <f t="shared" si="20"/>
        <v>Overweight</v>
      </c>
      <c r="E1256">
        <v>0</v>
      </c>
      <c r="F1256" t="s">
        <v>11</v>
      </c>
      <c r="G1256" t="s">
        <v>12</v>
      </c>
      <c r="H1256">
        <v>4415.1588000000002</v>
      </c>
    </row>
    <row r="1257" spans="1:8" x14ac:dyDescent="0.3">
      <c r="A1257">
        <v>42</v>
      </c>
      <c r="B1257" t="s">
        <v>7</v>
      </c>
      <c r="C1257">
        <v>37.9</v>
      </c>
      <c r="D1257" t="str">
        <f t="shared" si="20"/>
        <v>Obese</v>
      </c>
      <c r="E1257">
        <v>0</v>
      </c>
      <c r="F1257" t="s">
        <v>11</v>
      </c>
      <c r="G1257" t="s">
        <v>9</v>
      </c>
      <c r="H1257">
        <v>6474.0129999999999</v>
      </c>
    </row>
    <row r="1258" spans="1:8" x14ac:dyDescent="0.3">
      <c r="A1258">
        <v>51</v>
      </c>
      <c r="B1258" t="s">
        <v>7</v>
      </c>
      <c r="C1258">
        <v>36.384999999999998</v>
      </c>
      <c r="D1258" t="str">
        <f t="shared" si="20"/>
        <v>Obese</v>
      </c>
      <c r="E1258">
        <v>3</v>
      </c>
      <c r="F1258" t="s">
        <v>11</v>
      </c>
      <c r="G1258" t="s">
        <v>13</v>
      </c>
      <c r="H1258">
        <v>11436.738149999999</v>
      </c>
    </row>
    <row r="1259" spans="1:8" x14ac:dyDescent="0.3">
      <c r="A1259">
        <v>54</v>
      </c>
      <c r="B1259" t="s">
        <v>7</v>
      </c>
      <c r="C1259">
        <v>27.645</v>
      </c>
      <c r="D1259" t="str">
        <f t="shared" si="20"/>
        <v>Overweight</v>
      </c>
      <c r="E1259">
        <v>1</v>
      </c>
      <c r="F1259" t="s">
        <v>11</v>
      </c>
      <c r="G1259" t="s">
        <v>13</v>
      </c>
      <c r="H1259">
        <v>11305.93455</v>
      </c>
    </row>
    <row r="1260" spans="1:8" x14ac:dyDescent="0.3">
      <c r="A1260">
        <v>55</v>
      </c>
      <c r="B1260" t="s">
        <v>10</v>
      </c>
      <c r="C1260">
        <v>37.715000000000003</v>
      </c>
      <c r="D1260" t="str">
        <f t="shared" si="20"/>
        <v>Obese</v>
      </c>
      <c r="E1260">
        <v>3</v>
      </c>
      <c r="F1260" t="s">
        <v>11</v>
      </c>
      <c r="G1260" t="s">
        <v>13</v>
      </c>
      <c r="H1260">
        <v>30063.580549999999</v>
      </c>
    </row>
    <row r="1261" spans="1:8" x14ac:dyDescent="0.3">
      <c r="A1261">
        <v>52</v>
      </c>
      <c r="B1261" t="s">
        <v>7</v>
      </c>
      <c r="C1261">
        <v>23.18</v>
      </c>
      <c r="D1261" t="str">
        <f t="shared" si="20"/>
        <v>Normal</v>
      </c>
      <c r="E1261">
        <v>0</v>
      </c>
      <c r="F1261" t="s">
        <v>11</v>
      </c>
      <c r="G1261" t="s">
        <v>14</v>
      </c>
      <c r="H1261">
        <v>10197.772199999999</v>
      </c>
    </row>
    <row r="1262" spans="1:8" x14ac:dyDescent="0.3">
      <c r="A1262">
        <v>32</v>
      </c>
      <c r="B1262" t="s">
        <v>7</v>
      </c>
      <c r="C1262">
        <v>20.52</v>
      </c>
      <c r="D1262" t="str">
        <f t="shared" si="20"/>
        <v>Normal</v>
      </c>
      <c r="E1262">
        <v>0</v>
      </c>
      <c r="F1262" t="s">
        <v>11</v>
      </c>
      <c r="G1262" t="s">
        <v>14</v>
      </c>
      <c r="H1262">
        <v>4544.2348000000002</v>
      </c>
    </row>
    <row r="1263" spans="1:8" x14ac:dyDescent="0.3">
      <c r="A1263">
        <v>28</v>
      </c>
      <c r="B1263" t="s">
        <v>10</v>
      </c>
      <c r="C1263">
        <v>37.1</v>
      </c>
      <c r="D1263" t="str">
        <f t="shared" si="20"/>
        <v>Obese</v>
      </c>
      <c r="E1263">
        <v>1</v>
      </c>
      <c r="F1263" t="s">
        <v>11</v>
      </c>
      <c r="G1263" t="s">
        <v>9</v>
      </c>
      <c r="H1263">
        <v>3277.1610000000001</v>
      </c>
    </row>
    <row r="1264" spans="1:8" x14ac:dyDescent="0.3">
      <c r="A1264">
        <v>41</v>
      </c>
      <c r="B1264" t="s">
        <v>7</v>
      </c>
      <c r="C1264">
        <v>28.05</v>
      </c>
      <c r="D1264" t="str">
        <f t="shared" si="20"/>
        <v>Overweight</v>
      </c>
      <c r="E1264">
        <v>1</v>
      </c>
      <c r="F1264" t="s">
        <v>11</v>
      </c>
      <c r="G1264" t="s">
        <v>12</v>
      </c>
      <c r="H1264">
        <v>6770.1925000000001</v>
      </c>
    </row>
    <row r="1265" spans="1:8" x14ac:dyDescent="0.3">
      <c r="A1265">
        <v>43</v>
      </c>
      <c r="B1265" t="s">
        <v>7</v>
      </c>
      <c r="C1265">
        <v>29.9</v>
      </c>
      <c r="D1265" t="str">
        <f t="shared" si="20"/>
        <v>Overweight</v>
      </c>
      <c r="E1265">
        <v>1</v>
      </c>
      <c r="F1265" t="s">
        <v>11</v>
      </c>
      <c r="G1265" t="s">
        <v>9</v>
      </c>
      <c r="H1265">
        <v>7337.7479999999996</v>
      </c>
    </row>
    <row r="1266" spans="1:8" x14ac:dyDescent="0.3">
      <c r="A1266">
        <v>49</v>
      </c>
      <c r="B1266" t="s">
        <v>7</v>
      </c>
      <c r="C1266">
        <v>33.344999999999999</v>
      </c>
      <c r="D1266" t="str">
        <f t="shared" si="20"/>
        <v>Obese</v>
      </c>
      <c r="E1266">
        <v>2</v>
      </c>
      <c r="F1266" t="s">
        <v>11</v>
      </c>
      <c r="G1266" t="s">
        <v>14</v>
      </c>
      <c r="H1266">
        <v>10370.912549999999</v>
      </c>
    </row>
    <row r="1267" spans="1:8" x14ac:dyDescent="0.3">
      <c r="A1267">
        <v>64</v>
      </c>
      <c r="B1267" t="s">
        <v>10</v>
      </c>
      <c r="C1267">
        <v>23.76</v>
      </c>
      <c r="D1267" t="str">
        <f t="shared" si="20"/>
        <v>Normal</v>
      </c>
      <c r="E1267">
        <v>0</v>
      </c>
      <c r="F1267" t="s">
        <v>8</v>
      </c>
      <c r="G1267" t="s">
        <v>12</v>
      </c>
      <c r="H1267">
        <v>26926.5144</v>
      </c>
    </row>
    <row r="1268" spans="1:8" x14ac:dyDescent="0.3">
      <c r="A1268">
        <v>55</v>
      </c>
      <c r="B1268" t="s">
        <v>7</v>
      </c>
      <c r="C1268">
        <v>30.5</v>
      </c>
      <c r="D1268" t="str">
        <f t="shared" si="20"/>
        <v>Obese</v>
      </c>
      <c r="E1268">
        <v>0</v>
      </c>
      <c r="F1268" t="s">
        <v>11</v>
      </c>
      <c r="G1268" t="s">
        <v>9</v>
      </c>
      <c r="H1268">
        <v>10704.47</v>
      </c>
    </row>
    <row r="1269" spans="1:8" x14ac:dyDescent="0.3">
      <c r="A1269">
        <v>24</v>
      </c>
      <c r="B1269" t="s">
        <v>10</v>
      </c>
      <c r="C1269">
        <v>31.065000000000001</v>
      </c>
      <c r="D1269" t="str">
        <f t="shared" si="20"/>
        <v>Obese</v>
      </c>
      <c r="E1269">
        <v>0</v>
      </c>
      <c r="F1269" t="s">
        <v>8</v>
      </c>
      <c r="G1269" t="s">
        <v>14</v>
      </c>
      <c r="H1269">
        <v>34254.053350000002</v>
      </c>
    </row>
    <row r="1270" spans="1:8" x14ac:dyDescent="0.3">
      <c r="A1270">
        <v>20</v>
      </c>
      <c r="B1270" t="s">
        <v>7</v>
      </c>
      <c r="C1270">
        <v>33.299999999999997</v>
      </c>
      <c r="D1270" t="str">
        <f t="shared" si="20"/>
        <v>Obese</v>
      </c>
      <c r="E1270">
        <v>0</v>
      </c>
      <c r="F1270" t="s">
        <v>11</v>
      </c>
      <c r="G1270" t="s">
        <v>9</v>
      </c>
      <c r="H1270">
        <v>1880.4870000000001</v>
      </c>
    </row>
    <row r="1271" spans="1:8" x14ac:dyDescent="0.3">
      <c r="A1271">
        <v>45</v>
      </c>
      <c r="B1271" t="s">
        <v>10</v>
      </c>
      <c r="C1271">
        <v>27.5</v>
      </c>
      <c r="D1271" t="str">
        <f t="shared" si="20"/>
        <v>Overweight</v>
      </c>
      <c r="E1271">
        <v>3</v>
      </c>
      <c r="F1271" t="s">
        <v>11</v>
      </c>
      <c r="G1271" t="s">
        <v>9</v>
      </c>
      <c r="H1271">
        <v>8615.2999999999993</v>
      </c>
    </row>
    <row r="1272" spans="1:8" x14ac:dyDescent="0.3">
      <c r="A1272">
        <v>26</v>
      </c>
      <c r="B1272" t="s">
        <v>10</v>
      </c>
      <c r="C1272">
        <v>33.914999999999999</v>
      </c>
      <c r="D1272" t="str">
        <f t="shared" si="20"/>
        <v>Obese</v>
      </c>
      <c r="E1272">
        <v>1</v>
      </c>
      <c r="F1272" t="s">
        <v>11</v>
      </c>
      <c r="G1272" t="s">
        <v>13</v>
      </c>
      <c r="H1272">
        <v>3292.5298499999999</v>
      </c>
    </row>
    <row r="1273" spans="1:8" x14ac:dyDescent="0.3">
      <c r="A1273">
        <v>25</v>
      </c>
      <c r="B1273" t="s">
        <v>7</v>
      </c>
      <c r="C1273">
        <v>34.484999999999999</v>
      </c>
      <c r="D1273" t="str">
        <f t="shared" si="20"/>
        <v>Obese</v>
      </c>
      <c r="E1273">
        <v>0</v>
      </c>
      <c r="F1273" t="s">
        <v>11</v>
      </c>
      <c r="G1273" t="s">
        <v>13</v>
      </c>
      <c r="H1273">
        <v>3021.80915</v>
      </c>
    </row>
    <row r="1274" spans="1:8" x14ac:dyDescent="0.3">
      <c r="A1274">
        <v>43</v>
      </c>
      <c r="B1274" t="s">
        <v>10</v>
      </c>
      <c r="C1274">
        <v>25.52</v>
      </c>
      <c r="D1274" t="str">
        <f t="shared" si="20"/>
        <v>Overweight</v>
      </c>
      <c r="E1274">
        <v>5</v>
      </c>
      <c r="F1274" t="s">
        <v>11</v>
      </c>
      <c r="G1274" t="s">
        <v>12</v>
      </c>
      <c r="H1274">
        <v>14478.33015</v>
      </c>
    </row>
    <row r="1275" spans="1:8" x14ac:dyDescent="0.3">
      <c r="A1275">
        <v>35</v>
      </c>
      <c r="B1275" t="s">
        <v>10</v>
      </c>
      <c r="C1275">
        <v>27.61</v>
      </c>
      <c r="D1275" t="str">
        <f t="shared" si="20"/>
        <v>Overweight</v>
      </c>
      <c r="E1275">
        <v>1</v>
      </c>
      <c r="F1275" t="s">
        <v>11</v>
      </c>
      <c r="G1275" t="s">
        <v>12</v>
      </c>
      <c r="H1275">
        <v>4747.0528999999997</v>
      </c>
    </row>
    <row r="1276" spans="1:8" x14ac:dyDescent="0.3">
      <c r="A1276">
        <v>26</v>
      </c>
      <c r="B1276" t="s">
        <v>10</v>
      </c>
      <c r="C1276">
        <v>27.06</v>
      </c>
      <c r="D1276" t="str">
        <f t="shared" si="20"/>
        <v>Overweight</v>
      </c>
      <c r="E1276">
        <v>0</v>
      </c>
      <c r="F1276" t="s">
        <v>8</v>
      </c>
      <c r="G1276" t="s">
        <v>12</v>
      </c>
      <c r="H1276">
        <v>17043.341400000001</v>
      </c>
    </row>
    <row r="1277" spans="1:8" x14ac:dyDescent="0.3">
      <c r="A1277">
        <v>57</v>
      </c>
      <c r="B1277" t="s">
        <v>10</v>
      </c>
      <c r="C1277">
        <v>23.7</v>
      </c>
      <c r="D1277" t="str">
        <f t="shared" si="20"/>
        <v>Normal</v>
      </c>
      <c r="E1277">
        <v>0</v>
      </c>
      <c r="F1277" t="s">
        <v>11</v>
      </c>
      <c r="G1277" t="s">
        <v>9</v>
      </c>
      <c r="H1277">
        <v>10959.33</v>
      </c>
    </row>
    <row r="1278" spans="1:8" x14ac:dyDescent="0.3">
      <c r="A1278">
        <v>22</v>
      </c>
      <c r="B1278" t="s">
        <v>7</v>
      </c>
      <c r="C1278">
        <v>30.4</v>
      </c>
      <c r="D1278" t="str">
        <f t="shared" si="20"/>
        <v>Obese</v>
      </c>
      <c r="E1278">
        <v>0</v>
      </c>
      <c r="F1278" t="s">
        <v>11</v>
      </c>
      <c r="G1278" t="s">
        <v>14</v>
      </c>
      <c r="H1278">
        <v>2741.9479999999999</v>
      </c>
    </row>
    <row r="1279" spans="1:8" x14ac:dyDescent="0.3">
      <c r="A1279">
        <v>32</v>
      </c>
      <c r="B1279" t="s">
        <v>7</v>
      </c>
      <c r="C1279">
        <v>29.734999999999999</v>
      </c>
      <c r="D1279" t="str">
        <f t="shared" si="20"/>
        <v>Overweight</v>
      </c>
      <c r="E1279">
        <v>0</v>
      </c>
      <c r="F1279" t="s">
        <v>11</v>
      </c>
      <c r="G1279" t="s">
        <v>13</v>
      </c>
      <c r="H1279">
        <v>4357.0436499999996</v>
      </c>
    </row>
    <row r="1280" spans="1:8" x14ac:dyDescent="0.3">
      <c r="A1280">
        <v>39</v>
      </c>
      <c r="B1280" t="s">
        <v>10</v>
      </c>
      <c r="C1280">
        <v>29.925000000000001</v>
      </c>
      <c r="D1280" t="str">
        <f t="shared" si="20"/>
        <v>Overweight</v>
      </c>
      <c r="E1280">
        <v>1</v>
      </c>
      <c r="F1280" t="s">
        <v>8</v>
      </c>
      <c r="G1280" t="s">
        <v>14</v>
      </c>
      <c r="H1280">
        <v>22462.043750000001</v>
      </c>
    </row>
    <row r="1281" spans="1:8" x14ac:dyDescent="0.3">
      <c r="A1281">
        <v>25</v>
      </c>
      <c r="B1281" t="s">
        <v>7</v>
      </c>
      <c r="C1281">
        <v>26.79</v>
      </c>
      <c r="D1281" t="str">
        <f t="shared" si="20"/>
        <v>Overweight</v>
      </c>
      <c r="E1281">
        <v>2</v>
      </c>
      <c r="F1281" t="s">
        <v>11</v>
      </c>
      <c r="G1281" t="s">
        <v>13</v>
      </c>
      <c r="H1281">
        <v>4189.1130999999996</v>
      </c>
    </row>
    <row r="1282" spans="1:8" x14ac:dyDescent="0.3">
      <c r="A1282">
        <v>48</v>
      </c>
      <c r="B1282" t="s">
        <v>7</v>
      </c>
      <c r="C1282">
        <v>33.33</v>
      </c>
      <c r="D1282" t="str">
        <f t="shared" si="20"/>
        <v>Obese</v>
      </c>
      <c r="E1282">
        <v>0</v>
      </c>
      <c r="F1282" t="s">
        <v>11</v>
      </c>
      <c r="G1282" t="s">
        <v>12</v>
      </c>
      <c r="H1282">
        <v>8283.6807000000008</v>
      </c>
    </row>
    <row r="1283" spans="1:8" x14ac:dyDescent="0.3">
      <c r="A1283">
        <v>47</v>
      </c>
      <c r="B1283" t="s">
        <v>7</v>
      </c>
      <c r="C1283">
        <v>27.645</v>
      </c>
      <c r="D1283" t="str">
        <f t="shared" si="20"/>
        <v>Overweight</v>
      </c>
      <c r="E1283">
        <v>2</v>
      </c>
      <c r="F1283" t="s">
        <v>8</v>
      </c>
      <c r="G1283" t="s">
        <v>13</v>
      </c>
      <c r="H1283">
        <v>24535.698550000001</v>
      </c>
    </row>
    <row r="1284" spans="1:8" x14ac:dyDescent="0.3">
      <c r="A1284">
        <v>18</v>
      </c>
      <c r="B1284" t="s">
        <v>7</v>
      </c>
      <c r="C1284">
        <v>21.66</v>
      </c>
      <c r="D1284" t="str">
        <f t="shared" si="20"/>
        <v>Normal</v>
      </c>
      <c r="E1284">
        <v>0</v>
      </c>
      <c r="F1284" t="s">
        <v>8</v>
      </c>
      <c r="G1284" t="s">
        <v>14</v>
      </c>
      <c r="H1284">
        <v>14283.4594</v>
      </c>
    </row>
    <row r="1285" spans="1:8" x14ac:dyDescent="0.3">
      <c r="A1285">
        <v>18</v>
      </c>
      <c r="B1285" t="s">
        <v>10</v>
      </c>
      <c r="C1285">
        <v>30.03</v>
      </c>
      <c r="D1285" t="str">
        <f t="shared" si="20"/>
        <v>Obese</v>
      </c>
      <c r="E1285">
        <v>1</v>
      </c>
      <c r="F1285" t="s">
        <v>11</v>
      </c>
      <c r="G1285" t="s">
        <v>12</v>
      </c>
      <c r="H1285">
        <v>1720.3536999999999</v>
      </c>
    </row>
    <row r="1286" spans="1:8" x14ac:dyDescent="0.3">
      <c r="A1286">
        <v>61</v>
      </c>
      <c r="B1286" t="s">
        <v>10</v>
      </c>
      <c r="C1286">
        <v>36.299999999999997</v>
      </c>
      <c r="D1286" t="str">
        <f t="shared" si="20"/>
        <v>Obese</v>
      </c>
      <c r="E1286">
        <v>1</v>
      </c>
      <c r="F1286" t="s">
        <v>8</v>
      </c>
      <c r="G1286" t="s">
        <v>9</v>
      </c>
      <c r="H1286">
        <v>47403.88</v>
      </c>
    </row>
    <row r="1287" spans="1:8" x14ac:dyDescent="0.3">
      <c r="A1287">
        <v>47</v>
      </c>
      <c r="B1287" t="s">
        <v>7</v>
      </c>
      <c r="C1287">
        <v>24.32</v>
      </c>
      <c r="D1287" t="str">
        <f t="shared" si="20"/>
        <v>Normal</v>
      </c>
      <c r="E1287">
        <v>0</v>
      </c>
      <c r="F1287" t="s">
        <v>11</v>
      </c>
      <c r="G1287" t="s">
        <v>14</v>
      </c>
      <c r="H1287">
        <v>8534.6718000000001</v>
      </c>
    </row>
    <row r="1288" spans="1:8" x14ac:dyDescent="0.3">
      <c r="A1288">
        <v>28</v>
      </c>
      <c r="B1288" t="s">
        <v>7</v>
      </c>
      <c r="C1288">
        <v>17.29</v>
      </c>
      <c r="D1288" t="str">
        <f t="shared" si="20"/>
        <v>Underweight</v>
      </c>
      <c r="E1288">
        <v>0</v>
      </c>
      <c r="F1288" t="s">
        <v>11</v>
      </c>
      <c r="G1288" t="s">
        <v>14</v>
      </c>
      <c r="H1288">
        <v>3732.6251000000002</v>
      </c>
    </row>
    <row r="1289" spans="1:8" x14ac:dyDescent="0.3">
      <c r="A1289">
        <v>36</v>
      </c>
      <c r="B1289" t="s">
        <v>7</v>
      </c>
      <c r="C1289">
        <v>25.9</v>
      </c>
      <c r="D1289" t="str">
        <f t="shared" si="20"/>
        <v>Overweight</v>
      </c>
      <c r="E1289">
        <v>1</v>
      </c>
      <c r="F1289" t="s">
        <v>11</v>
      </c>
      <c r="G1289" t="s">
        <v>9</v>
      </c>
      <c r="H1289">
        <v>5472.4489999999996</v>
      </c>
    </row>
    <row r="1290" spans="1:8" x14ac:dyDescent="0.3">
      <c r="A1290">
        <v>20</v>
      </c>
      <c r="B1290" t="s">
        <v>10</v>
      </c>
      <c r="C1290">
        <v>39.4</v>
      </c>
      <c r="D1290" t="str">
        <f t="shared" si="20"/>
        <v>Obese</v>
      </c>
      <c r="E1290">
        <v>2</v>
      </c>
      <c r="F1290" t="s">
        <v>8</v>
      </c>
      <c r="G1290" t="s">
        <v>9</v>
      </c>
      <c r="H1290">
        <v>38344.565999999999</v>
      </c>
    </row>
    <row r="1291" spans="1:8" x14ac:dyDescent="0.3">
      <c r="A1291">
        <v>44</v>
      </c>
      <c r="B1291" t="s">
        <v>10</v>
      </c>
      <c r="C1291">
        <v>34.32</v>
      </c>
      <c r="D1291" t="str">
        <f t="shared" si="20"/>
        <v>Obese</v>
      </c>
      <c r="E1291">
        <v>1</v>
      </c>
      <c r="F1291" t="s">
        <v>11</v>
      </c>
      <c r="G1291" t="s">
        <v>12</v>
      </c>
      <c r="H1291">
        <v>7147.4727999999996</v>
      </c>
    </row>
    <row r="1292" spans="1:8" x14ac:dyDescent="0.3">
      <c r="A1292">
        <v>38</v>
      </c>
      <c r="B1292" t="s">
        <v>7</v>
      </c>
      <c r="C1292">
        <v>19.95</v>
      </c>
      <c r="D1292" t="str">
        <f t="shared" si="20"/>
        <v>Normal</v>
      </c>
      <c r="E1292">
        <v>2</v>
      </c>
      <c r="F1292" t="s">
        <v>11</v>
      </c>
      <c r="G1292" t="s">
        <v>14</v>
      </c>
      <c r="H1292">
        <v>7133.9025000000001</v>
      </c>
    </row>
    <row r="1293" spans="1:8" x14ac:dyDescent="0.3">
      <c r="A1293">
        <v>19</v>
      </c>
      <c r="B1293" t="s">
        <v>10</v>
      </c>
      <c r="C1293">
        <v>34.9</v>
      </c>
      <c r="D1293" t="str">
        <f t="shared" si="20"/>
        <v>Obese</v>
      </c>
      <c r="E1293">
        <v>0</v>
      </c>
      <c r="F1293" t="s">
        <v>8</v>
      </c>
      <c r="G1293" t="s">
        <v>9</v>
      </c>
      <c r="H1293">
        <v>34828.654000000002</v>
      </c>
    </row>
    <row r="1294" spans="1:8" x14ac:dyDescent="0.3">
      <c r="A1294">
        <v>21</v>
      </c>
      <c r="B1294" t="s">
        <v>10</v>
      </c>
      <c r="C1294">
        <v>23.21</v>
      </c>
      <c r="D1294" t="str">
        <f t="shared" si="20"/>
        <v>Normal</v>
      </c>
      <c r="E1294">
        <v>0</v>
      </c>
      <c r="F1294" t="s">
        <v>11</v>
      </c>
      <c r="G1294" t="s">
        <v>12</v>
      </c>
      <c r="H1294">
        <v>1515.3449000000001</v>
      </c>
    </row>
    <row r="1295" spans="1:8" x14ac:dyDescent="0.3">
      <c r="A1295">
        <v>46</v>
      </c>
      <c r="B1295" t="s">
        <v>10</v>
      </c>
      <c r="C1295">
        <v>25.745000000000001</v>
      </c>
      <c r="D1295" t="str">
        <f t="shared" si="20"/>
        <v>Overweight</v>
      </c>
      <c r="E1295">
        <v>3</v>
      </c>
      <c r="F1295" t="s">
        <v>11</v>
      </c>
      <c r="G1295" t="s">
        <v>13</v>
      </c>
      <c r="H1295">
        <v>9301.8935500000007</v>
      </c>
    </row>
    <row r="1296" spans="1:8" x14ac:dyDescent="0.3">
      <c r="A1296">
        <v>58</v>
      </c>
      <c r="B1296" t="s">
        <v>10</v>
      </c>
      <c r="C1296">
        <v>25.175000000000001</v>
      </c>
      <c r="D1296" t="str">
        <f t="shared" si="20"/>
        <v>Overweight</v>
      </c>
      <c r="E1296">
        <v>0</v>
      </c>
      <c r="F1296" t="s">
        <v>11</v>
      </c>
      <c r="G1296" t="s">
        <v>14</v>
      </c>
      <c r="H1296">
        <v>11931.125249999999</v>
      </c>
    </row>
    <row r="1297" spans="1:8" x14ac:dyDescent="0.3">
      <c r="A1297">
        <v>20</v>
      </c>
      <c r="B1297" t="s">
        <v>10</v>
      </c>
      <c r="C1297">
        <v>22</v>
      </c>
      <c r="D1297" t="str">
        <f t="shared" si="20"/>
        <v>Normal</v>
      </c>
      <c r="E1297">
        <v>1</v>
      </c>
      <c r="F1297" t="s">
        <v>11</v>
      </c>
      <c r="G1297" t="s">
        <v>9</v>
      </c>
      <c r="H1297">
        <v>1964.78</v>
      </c>
    </row>
    <row r="1298" spans="1:8" x14ac:dyDescent="0.3">
      <c r="A1298">
        <v>18</v>
      </c>
      <c r="B1298" t="s">
        <v>10</v>
      </c>
      <c r="C1298">
        <v>26.125</v>
      </c>
      <c r="D1298" t="str">
        <f t="shared" si="20"/>
        <v>Overweight</v>
      </c>
      <c r="E1298">
        <v>0</v>
      </c>
      <c r="F1298" t="s">
        <v>11</v>
      </c>
      <c r="G1298" t="s">
        <v>14</v>
      </c>
      <c r="H1298">
        <v>1708.9257500000001</v>
      </c>
    </row>
    <row r="1299" spans="1:8" x14ac:dyDescent="0.3">
      <c r="A1299">
        <v>28</v>
      </c>
      <c r="B1299" t="s">
        <v>7</v>
      </c>
      <c r="C1299">
        <v>26.51</v>
      </c>
      <c r="D1299" t="str">
        <f t="shared" si="20"/>
        <v>Overweight</v>
      </c>
      <c r="E1299">
        <v>2</v>
      </c>
      <c r="F1299" t="s">
        <v>11</v>
      </c>
      <c r="G1299" t="s">
        <v>12</v>
      </c>
      <c r="H1299">
        <v>4340.4408999999996</v>
      </c>
    </row>
    <row r="1300" spans="1:8" x14ac:dyDescent="0.3">
      <c r="A1300">
        <v>33</v>
      </c>
      <c r="B1300" t="s">
        <v>10</v>
      </c>
      <c r="C1300">
        <v>27.454999999999998</v>
      </c>
      <c r="D1300" t="str">
        <f t="shared" si="20"/>
        <v>Overweight</v>
      </c>
      <c r="E1300">
        <v>2</v>
      </c>
      <c r="F1300" t="s">
        <v>11</v>
      </c>
      <c r="G1300" t="s">
        <v>13</v>
      </c>
      <c r="H1300">
        <v>5261.4694499999996</v>
      </c>
    </row>
    <row r="1301" spans="1:8" x14ac:dyDescent="0.3">
      <c r="A1301">
        <v>19</v>
      </c>
      <c r="B1301" t="s">
        <v>7</v>
      </c>
      <c r="C1301">
        <v>25.745000000000001</v>
      </c>
      <c r="D1301" t="str">
        <f t="shared" ref="D1301:D1339" si="21">IF(C1301&lt;18.5,"Underweight",IF(C1301&lt;24.9,"Normal",IF(C1301&lt;30,"Overweight","Obese")))</f>
        <v>Overweight</v>
      </c>
      <c r="E1301">
        <v>1</v>
      </c>
      <c r="F1301" t="s">
        <v>11</v>
      </c>
      <c r="G1301" t="s">
        <v>13</v>
      </c>
      <c r="H1301">
        <v>2710.8285500000002</v>
      </c>
    </row>
    <row r="1302" spans="1:8" x14ac:dyDescent="0.3">
      <c r="A1302">
        <v>45</v>
      </c>
      <c r="B1302" t="s">
        <v>10</v>
      </c>
      <c r="C1302">
        <v>30.36</v>
      </c>
      <c r="D1302" t="str">
        <f t="shared" si="21"/>
        <v>Obese</v>
      </c>
      <c r="E1302">
        <v>0</v>
      </c>
      <c r="F1302" t="s">
        <v>8</v>
      </c>
      <c r="G1302" t="s">
        <v>12</v>
      </c>
      <c r="H1302">
        <v>62592.873090000001</v>
      </c>
    </row>
    <row r="1303" spans="1:8" x14ac:dyDescent="0.3">
      <c r="A1303">
        <v>62</v>
      </c>
      <c r="B1303" t="s">
        <v>10</v>
      </c>
      <c r="C1303">
        <v>30.875</v>
      </c>
      <c r="D1303" t="str">
        <f t="shared" si="21"/>
        <v>Obese</v>
      </c>
      <c r="E1303">
        <v>3</v>
      </c>
      <c r="F1303" t="s">
        <v>8</v>
      </c>
      <c r="G1303" t="s">
        <v>13</v>
      </c>
      <c r="H1303">
        <v>46718.163249999998</v>
      </c>
    </row>
    <row r="1304" spans="1:8" x14ac:dyDescent="0.3">
      <c r="A1304">
        <v>25</v>
      </c>
      <c r="B1304" t="s">
        <v>7</v>
      </c>
      <c r="C1304">
        <v>20.8</v>
      </c>
      <c r="D1304" t="str">
        <f t="shared" si="21"/>
        <v>Normal</v>
      </c>
      <c r="E1304">
        <v>1</v>
      </c>
      <c r="F1304" t="s">
        <v>11</v>
      </c>
      <c r="G1304" t="s">
        <v>9</v>
      </c>
      <c r="H1304">
        <v>3208.7869999999998</v>
      </c>
    </row>
    <row r="1305" spans="1:8" x14ac:dyDescent="0.3">
      <c r="A1305">
        <v>43</v>
      </c>
      <c r="B1305" t="s">
        <v>10</v>
      </c>
      <c r="C1305">
        <v>27.8</v>
      </c>
      <c r="D1305" t="str">
        <f t="shared" si="21"/>
        <v>Overweight</v>
      </c>
      <c r="E1305">
        <v>0</v>
      </c>
      <c r="F1305" t="s">
        <v>8</v>
      </c>
      <c r="G1305" t="s">
        <v>9</v>
      </c>
      <c r="H1305">
        <v>37829.724199999997</v>
      </c>
    </row>
    <row r="1306" spans="1:8" x14ac:dyDescent="0.3">
      <c r="A1306">
        <v>42</v>
      </c>
      <c r="B1306" t="s">
        <v>10</v>
      </c>
      <c r="C1306">
        <v>24.605</v>
      </c>
      <c r="D1306" t="str">
        <f t="shared" si="21"/>
        <v>Normal</v>
      </c>
      <c r="E1306">
        <v>2</v>
      </c>
      <c r="F1306" t="s">
        <v>8</v>
      </c>
      <c r="G1306" t="s">
        <v>14</v>
      </c>
      <c r="H1306">
        <v>21259.377949999998</v>
      </c>
    </row>
    <row r="1307" spans="1:8" x14ac:dyDescent="0.3">
      <c r="A1307">
        <v>24</v>
      </c>
      <c r="B1307" t="s">
        <v>7</v>
      </c>
      <c r="C1307">
        <v>27.72</v>
      </c>
      <c r="D1307" t="str">
        <f t="shared" si="21"/>
        <v>Overweight</v>
      </c>
      <c r="E1307">
        <v>0</v>
      </c>
      <c r="F1307" t="s">
        <v>11</v>
      </c>
      <c r="G1307" t="s">
        <v>12</v>
      </c>
      <c r="H1307">
        <v>2464.6188000000002</v>
      </c>
    </row>
    <row r="1308" spans="1:8" x14ac:dyDescent="0.3">
      <c r="A1308">
        <v>29</v>
      </c>
      <c r="B1308" t="s">
        <v>7</v>
      </c>
      <c r="C1308">
        <v>21.85</v>
      </c>
      <c r="D1308" t="str">
        <f t="shared" si="21"/>
        <v>Normal</v>
      </c>
      <c r="E1308">
        <v>0</v>
      </c>
      <c r="F1308" t="s">
        <v>8</v>
      </c>
      <c r="G1308" t="s">
        <v>14</v>
      </c>
      <c r="H1308">
        <v>16115.3045</v>
      </c>
    </row>
    <row r="1309" spans="1:8" x14ac:dyDescent="0.3">
      <c r="A1309">
        <v>32</v>
      </c>
      <c r="B1309" t="s">
        <v>10</v>
      </c>
      <c r="C1309">
        <v>28.12</v>
      </c>
      <c r="D1309" t="str">
        <f t="shared" si="21"/>
        <v>Overweight</v>
      </c>
      <c r="E1309">
        <v>4</v>
      </c>
      <c r="F1309" t="s">
        <v>8</v>
      </c>
      <c r="G1309" t="s">
        <v>13</v>
      </c>
      <c r="H1309">
        <v>21472.478800000001</v>
      </c>
    </row>
    <row r="1310" spans="1:8" x14ac:dyDescent="0.3">
      <c r="A1310">
        <v>25</v>
      </c>
      <c r="B1310" t="s">
        <v>7</v>
      </c>
      <c r="C1310">
        <v>30.2</v>
      </c>
      <c r="D1310" t="str">
        <f t="shared" si="21"/>
        <v>Obese</v>
      </c>
      <c r="E1310">
        <v>0</v>
      </c>
      <c r="F1310" t="s">
        <v>8</v>
      </c>
      <c r="G1310" t="s">
        <v>9</v>
      </c>
      <c r="H1310">
        <v>33900.652999999998</v>
      </c>
    </row>
    <row r="1311" spans="1:8" x14ac:dyDescent="0.3">
      <c r="A1311">
        <v>41</v>
      </c>
      <c r="B1311" t="s">
        <v>10</v>
      </c>
      <c r="C1311">
        <v>32.200000000000003</v>
      </c>
      <c r="D1311" t="str">
        <f t="shared" si="21"/>
        <v>Obese</v>
      </c>
      <c r="E1311">
        <v>2</v>
      </c>
      <c r="F1311" t="s">
        <v>11</v>
      </c>
      <c r="G1311" t="s">
        <v>9</v>
      </c>
      <c r="H1311">
        <v>6875.9610000000002</v>
      </c>
    </row>
    <row r="1312" spans="1:8" x14ac:dyDescent="0.3">
      <c r="A1312">
        <v>42</v>
      </c>
      <c r="B1312" t="s">
        <v>10</v>
      </c>
      <c r="C1312">
        <v>26.315000000000001</v>
      </c>
      <c r="D1312" t="str">
        <f t="shared" si="21"/>
        <v>Overweight</v>
      </c>
      <c r="E1312">
        <v>1</v>
      </c>
      <c r="F1312" t="s">
        <v>11</v>
      </c>
      <c r="G1312" t="s">
        <v>13</v>
      </c>
      <c r="H1312">
        <v>6940.90985</v>
      </c>
    </row>
    <row r="1313" spans="1:8" x14ac:dyDescent="0.3">
      <c r="A1313">
        <v>33</v>
      </c>
      <c r="B1313" t="s">
        <v>7</v>
      </c>
      <c r="C1313">
        <v>26.695</v>
      </c>
      <c r="D1313" t="str">
        <f t="shared" si="21"/>
        <v>Overweight</v>
      </c>
      <c r="E1313">
        <v>0</v>
      </c>
      <c r="F1313" t="s">
        <v>11</v>
      </c>
      <c r="G1313" t="s">
        <v>13</v>
      </c>
      <c r="H1313">
        <v>4571.4130500000001</v>
      </c>
    </row>
    <row r="1314" spans="1:8" x14ac:dyDescent="0.3">
      <c r="A1314">
        <v>34</v>
      </c>
      <c r="B1314" t="s">
        <v>10</v>
      </c>
      <c r="C1314">
        <v>42.9</v>
      </c>
      <c r="D1314" t="str">
        <f t="shared" si="21"/>
        <v>Obese</v>
      </c>
      <c r="E1314">
        <v>1</v>
      </c>
      <c r="F1314" t="s">
        <v>11</v>
      </c>
      <c r="G1314" t="s">
        <v>9</v>
      </c>
      <c r="H1314">
        <v>4536.259</v>
      </c>
    </row>
    <row r="1315" spans="1:8" x14ac:dyDescent="0.3">
      <c r="A1315">
        <v>19</v>
      </c>
      <c r="B1315" t="s">
        <v>7</v>
      </c>
      <c r="C1315">
        <v>34.700000000000003</v>
      </c>
      <c r="D1315" t="str">
        <f t="shared" si="21"/>
        <v>Obese</v>
      </c>
      <c r="E1315">
        <v>2</v>
      </c>
      <c r="F1315" t="s">
        <v>8</v>
      </c>
      <c r="G1315" t="s">
        <v>9</v>
      </c>
      <c r="H1315">
        <v>36397.576000000001</v>
      </c>
    </row>
    <row r="1316" spans="1:8" x14ac:dyDescent="0.3">
      <c r="A1316">
        <v>30</v>
      </c>
      <c r="B1316" t="s">
        <v>7</v>
      </c>
      <c r="C1316">
        <v>23.655000000000001</v>
      </c>
      <c r="D1316" t="str">
        <f t="shared" si="21"/>
        <v>Normal</v>
      </c>
      <c r="E1316">
        <v>3</v>
      </c>
      <c r="F1316" t="s">
        <v>8</v>
      </c>
      <c r="G1316" t="s">
        <v>13</v>
      </c>
      <c r="H1316">
        <v>18765.87545</v>
      </c>
    </row>
    <row r="1317" spans="1:8" x14ac:dyDescent="0.3">
      <c r="A1317">
        <v>18</v>
      </c>
      <c r="B1317" t="s">
        <v>10</v>
      </c>
      <c r="C1317">
        <v>28.31</v>
      </c>
      <c r="D1317" t="str">
        <f t="shared" si="21"/>
        <v>Overweight</v>
      </c>
      <c r="E1317">
        <v>1</v>
      </c>
      <c r="F1317" t="s">
        <v>11</v>
      </c>
      <c r="G1317" t="s">
        <v>14</v>
      </c>
      <c r="H1317">
        <v>11272.331389999999</v>
      </c>
    </row>
    <row r="1318" spans="1:8" x14ac:dyDescent="0.3">
      <c r="A1318">
        <v>19</v>
      </c>
      <c r="B1318" t="s">
        <v>7</v>
      </c>
      <c r="C1318">
        <v>20.6</v>
      </c>
      <c r="D1318" t="str">
        <f t="shared" si="21"/>
        <v>Normal</v>
      </c>
      <c r="E1318">
        <v>0</v>
      </c>
      <c r="F1318" t="s">
        <v>11</v>
      </c>
      <c r="G1318" t="s">
        <v>9</v>
      </c>
      <c r="H1318">
        <v>1731.6769999999999</v>
      </c>
    </row>
    <row r="1319" spans="1:8" x14ac:dyDescent="0.3">
      <c r="A1319">
        <v>18</v>
      </c>
      <c r="B1319" t="s">
        <v>10</v>
      </c>
      <c r="C1319">
        <v>53.13</v>
      </c>
      <c r="D1319" t="str">
        <f t="shared" si="21"/>
        <v>Obese</v>
      </c>
      <c r="E1319">
        <v>0</v>
      </c>
      <c r="F1319" t="s">
        <v>11</v>
      </c>
      <c r="G1319" t="s">
        <v>12</v>
      </c>
      <c r="H1319">
        <v>1163.4627</v>
      </c>
    </row>
    <row r="1320" spans="1:8" x14ac:dyDescent="0.3">
      <c r="A1320">
        <v>35</v>
      </c>
      <c r="B1320" t="s">
        <v>10</v>
      </c>
      <c r="C1320">
        <v>39.71</v>
      </c>
      <c r="D1320" t="str">
        <f t="shared" si="21"/>
        <v>Obese</v>
      </c>
      <c r="E1320">
        <v>4</v>
      </c>
      <c r="F1320" t="s">
        <v>11</v>
      </c>
      <c r="G1320" t="s">
        <v>14</v>
      </c>
      <c r="H1320">
        <v>19496.71917</v>
      </c>
    </row>
    <row r="1321" spans="1:8" x14ac:dyDescent="0.3">
      <c r="A1321">
        <v>39</v>
      </c>
      <c r="B1321" t="s">
        <v>7</v>
      </c>
      <c r="C1321">
        <v>26.315000000000001</v>
      </c>
      <c r="D1321" t="str">
        <f t="shared" si="21"/>
        <v>Overweight</v>
      </c>
      <c r="E1321">
        <v>2</v>
      </c>
      <c r="F1321" t="s">
        <v>11</v>
      </c>
      <c r="G1321" t="s">
        <v>13</v>
      </c>
      <c r="H1321">
        <v>7201.7008500000002</v>
      </c>
    </row>
    <row r="1322" spans="1:8" x14ac:dyDescent="0.3">
      <c r="A1322">
        <v>31</v>
      </c>
      <c r="B1322" t="s">
        <v>10</v>
      </c>
      <c r="C1322">
        <v>31.065000000000001</v>
      </c>
      <c r="D1322" t="str">
        <f t="shared" si="21"/>
        <v>Obese</v>
      </c>
      <c r="E1322">
        <v>3</v>
      </c>
      <c r="F1322" t="s">
        <v>11</v>
      </c>
      <c r="G1322" t="s">
        <v>13</v>
      </c>
      <c r="H1322">
        <v>5425.0233500000004</v>
      </c>
    </row>
    <row r="1323" spans="1:8" x14ac:dyDescent="0.3">
      <c r="A1323">
        <v>62</v>
      </c>
      <c r="B1323" t="s">
        <v>10</v>
      </c>
      <c r="C1323">
        <v>26.695</v>
      </c>
      <c r="D1323" t="str">
        <f t="shared" si="21"/>
        <v>Overweight</v>
      </c>
      <c r="E1323">
        <v>0</v>
      </c>
      <c r="F1323" t="s">
        <v>8</v>
      </c>
      <c r="G1323" t="s">
        <v>14</v>
      </c>
      <c r="H1323">
        <v>28101.333050000001</v>
      </c>
    </row>
    <row r="1324" spans="1:8" x14ac:dyDescent="0.3">
      <c r="A1324">
        <v>62</v>
      </c>
      <c r="B1324" t="s">
        <v>10</v>
      </c>
      <c r="C1324">
        <v>38.83</v>
      </c>
      <c r="D1324" t="str">
        <f t="shared" si="21"/>
        <v>Obese</v>
      </c>
      <c r="E1324">
        <v>0</v>
      </c>
      <c r="F1324" t="s">
        <v>11</v>
      </c>
      <c r="G1324" t="s">
        <v>12</v>
      </c>
      <c r="H1324">
        <v>12981.3457</v>
      </c>
    </row>
    <row r="1325" spans="1:8" x14ac:dyDescent="0.3">
      <c r="A1325">
        <v>42</v>
      </c>
      <c r="B1325" t="s">
        <v>7</v>
      </c>
      <c r="C1325">
        <v>40.369999999999997</v>
      </c>
      <c r="D1325" t="str">
        <f t="shared" si="21"/>
        <v>Obese</v>
      </c>
      <c r="E1325">
        <v>2</v>
      </c>
      <c r="F1325" t="s">
        <v>8</v>
      </c>
      <c r="G1325" t="s">
        <v>12</v>
      </c>
      <c r="H1325">
        <v>43896.376300000004</v>
      </c>
    </row>
    <row r="1326" spans="1:8" x14ac:dyDescent="0.3">
      <c r="A1326">
        <v>31</v>
      </c>
      <c r="B1326" t="s">
        <v>10</v>
      </c>
      <c r="C1326">
        <v>25.934999999999999</v>
      </c>
      <c r="D1326" t="str">
        <f t="shared" si="21"/>
        <v>Overweight</v>
      </c>
      <c r="E1326">
        <v>1</v>
      </c>
      <c r="F1326" t="s">
        <v>11</v>
      </c>
      <c r="G1326" t="s">
        <v>13</v>
      </c>
      <c r="H1326">
        <v>4239.8926499999998</v>
      </c>
    </row>
    <row r="1327" spans="1:8" x14ac:dyDescent="0.3">
      <c r="A1327">
        <v>61</v>
      </c>
      <c r="B1327" t="s">
        <v>10</v>
      </c>
      <c r="C1327">
        <v>33.534999999999997</v>
      </c>
      <c r="D1327" t="str">
        <f t="shared" si="21"/>
        <v>Obese</v>
      </c>
      <c r="E1327">
        <v>0</v>
      </c>
      <c r="F1327" t="s">
        <v>11</v>
      </c>
      <c r="G1327" t="s">
        <v>14</v>
      </c>
      <c r="H1327">
        <v>13143.336649999999</v>
      </c>
    </row>
    <row r="1328" spans="1:8" x14ac:dyDescent="0.3">
      <c r="A1328">
        <v>42</v>
      </c>
      <c r="B1328" t="s">
        <v>7</v>
      </c>
      <c r="C1328">
        <v>32.869999999999997</v>
      </c>
      <c r="D1328" t="str">
        <f t="shared" si="21"/>
        <v>Obese</v>
      </c>
      <c r="E1328">
        <v>0</v>
      </c>
      <c r="F1328" t="s">
        <v>11</v>
      </c>
      <c r="G1328" t="s">
        <v>14</v>
      </c>
      <c r="H1328">
        <v>7050.0213000000003</v>
      </c>
    </row>
    <row r="1329" spans="1:8" x14ac:dyDescent="0.3">
      <c r="A1329">
        <v>51</v>
      </c>
      <c r="B1329" t="s">
        <v>10</v>
      </c>
      <c r="C1329">
        <v>30.03</v>
      </c>
      <c r="D1329" t="str">
        <f t="shared" si="21"/>
        <v>Obese</v>
      </c>
      <c r="E1329">
        <v>1</v>
      </c>
      <c r="F1329" t="s">
        <v>11</v>
      </c>
      <c r="G1329" t="s">
        <v>12</v>
      </c>
      <c r="H1329">
        <v>9377.9046999999991</v>
      </c>
    </row>
    <row r="1330" spans="1:8" x14ac:dyDescent="0.3">
      <c r="A1330">
        <v>23</v>
      </c>
      <c r="B1330" t="s">
        <v>7</v>
      </c>
      <c r="C1330">
        <v>24.225000000000001</v>
      </c>
      <c r="D1330" t="str">
        <f t="shared" si="21"/>
        <v>Normal</v>
      </c>
      <c r="E1330">
        <v>2</v>
      </c>
      <c r="F1330" t="s">
        <v>11</v>
      </c>
      <c r="G1330" t="s">
        <v>14</v>
      </c>
      <c r="H1330">
        <v>22395.74424</v>
      </c>
    </row>
    <row r="1331" spans="1:8" x14ac:dyDescent="0.3">
      <c r="A1331">
        <v>52</v>
      </c>
      <c r="B1331" t="s">
        <v>10</v>
      </c>
      <c r="C1331">
        <v>38.6</v>
      </c>
      <c r="D1331" t="str">
        <f t="shared" si="21"/>
        <v>Obese</v>
      </c>
      <c r="E1331">
        <v>2</v>
      </c>
      <c r="F1331" t="s">
        <v>11</v>
      </c>
      <c r="G1331" t="s">
        <v>9</v>
      </c>
      <c r="H1331">
        <v>10325.206</v>
      </c>
    </row>
    <row r="1332" spans="1:8" x14ac:dyDescent="0.3">
      <c r="A1332">
        <v>57</v>
      </c>
      <c r="B1332" t="s">
        <v>7</v>
      </c>
      <c r="C1332">
        <v>25.74</v>
      </c>
      <c r="D1332" t="str">
        <f t="shared" si="21"/>
        <v>Overweight</v>
      </c>
      <c r="E1332">
        <v>2</v>
      </c>
      <c r="F1332" t="s">
        <v>11</v>
      </c>
      <c r="G1332" t="s">
        <v>12</v>
      </c>
      <c r="H1332">
        <v>12629.1656</v>
      </c>
    </row>
    <row r="1333" spans="1:8" x14ac:dyDescent="0.3">
      <c r="A1333">
        <v>23</v>
      </c>
      <c r="B1333" t="s">
        <v>7</v>
      </c>
      <c r="C1333">
        <v>33.4</v>
      </c>
      <c r="D1333" t="str">
        <f t="shared" si="21"/>
        <v>Obese</v>
      </c>
      <c r="E1333">
        <v>0</v>
      </c>
      <c r="F1333" t="s">
        <v>11</v>
      </c>
      <c r="G1333" t="s">
        <v>9</v>
      </c>
      <c r="H1333">
        <v>10795.937330000001</v>
      </c>
    </row>
    <row r="1334" spans="1:8" x14ac:dyDescent="0.3">
      <c r="A1334">
        <v>52</v>
      </c>
      <c r="B1334" t="s">
        <v>7</v>
      </c>
      <c r="C1334">
        <v>44.7</v>
      </c>
      <c r="D1334" t="str">
        <f t="shared" si="21"/>
        <v>Obese</v>
      </c>
      <c r="E1334">
        <v>3</v>
      </c>
      <c r="F1334" t="s">
        <v>11</v>
      </c>
      <c r="G1334" t="s">
        <v>9</v>
      </c>
      <c r="H1334">
        <v>11411.684999999999</v>
      </c>
    </row>
    <row r="1335" spans="1:8" x14ac:dyDescent="0.3">
      <c r="A1335">
        <v>50</v>
      </c>
      <c r="B1335" t="s">
        <v>10</v>
      </c>
      <c r="C1335">
        <v>30.97</v>
      </c>
      <c r="D1335" t="str">
        <f t="shared" si="21"/>
        <v>Obese</v>
      </c>
      <c r="E1335">
        <v>3</v>
      </c>
      <c r="F1335" t="s">
        <v>11</v>
      </c>
      <c r="G1335" t="s">
        <v>13</v>
      </c>
      <c r="H1335">
        <v>10600.5483</v>
      </c>
    </row>
    <row r="1336" spans="1:8" x14ac:dyDescent="0.3">
      <c r="A1336">
        <v>18</v>
      </c>
      <c r="B1336" t="s">
        <v>7</v>
      </c>
      <c r="C1336">
        <v>31.92</v>
      </c>
      <c r="D1336" t="str">
        <f t="shared" si="21"/>
        <v>Obese</v>
      </c>
      <c r="E1336">
        <v>0</v>
      </c>
      <c r="F1336" t="s">
        <v>11</v>
      </c>
      <c r="G1336" t="s">
        <v>14</v>
      </c>
      <c r="H1336">
        <v>2205.9807999999998</v>
      </c>
    </row>
    <row r="1337" spans="1:8" x14ac:dyDescent="0.3">
      <c r="A1337">
        <v>18</v>
      </c>
      <c r="B1337" t="s">
        <v>7</v>
      </c>
      <c r="C1337">
        <v>26.85</v>
      </c>
      <c r="D1337" t="str">
        <f t="shared" si="21"/>
        <v>Overweight</v>
      </c>
      <c r="E1337">
        <v>0</v>
      </c>
      <c r="F1337" t="s">
        <v>11</v>
      </c>
      <c r="G1337" t="s">
        <v>12</v>
      </c>
      <c r="H1337">
        <v>1629.8335</v>
      </c>
    </row>
    <row r="1338" spans="1:8" x14ac:dyDescent="0.3">
      <c r="A1338">
        <v>21</v>
      </c>
      <c r="B1338" t="s">
        <v>7</v>
      </c>
      <c r="C1338">
        <v>25.8</v>
      </c>
      <c r="D1338" t="str">
        <f t="shared" si="21"/>
        <v>Overweight</v>
      </c>
      <c r="E1338">
        <v>0</v>
      </c>
      <c r="F1338" t="s">
        <v>11</v>
      </c>
      <c r="G1338" t="s">
        <v>9</v>
      </c>
      <c r="H1338">
        <v>2007.9449999999999</v>
      </c>
    </row>
    <row r="1339" spans="1:8" x14ac:dyDescent="0.3">
      <c r="A1339">
        <v>61</v>
      </c>
      <c r="B1339" t="s">
        <v>7</v>
      </c>
      <c r="C1339">
        <v>29.07</v>
      </c>
      <c r="D1339" t="str">
        <f t="shared" si="21"/>
        <v>Overweight</v>
      </c>
      <c r="E1339">
        <v>0</v>
      </c>
      <c r="F1339" t="s">
        <v>8</v>
      </c>
      <c r="G1339" t="s">
        <v>13</v>
      </c>
      <c r="H1339">
        <v>29141.3603</v>
      </c>
    </row>
  </sheetData>
  <mergeCells count="3">
    <mergeCell ref="J3:M3"/>
    <mergeCell ref="J7:M7"/>
    <mergeCell ref="J11:M1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803B4500-5DB9-40FE-B7C0-4F8A5159E04A}">
  <ds:schemaRefs>
    <ds:schemaRef ds:uri="http://schemas.microsoft.com/DataMashup"/>
  </ds:schemaRefs>
</ds:datastoreItem>
</file>

<file path=customXml/itemProps2.xml><?xml version="1.0" encoding="utf-8"?>
<ds:datastoreItem xmlns:ds="http://schemas.openxmlformats.org/officeDocument/2006/customXml" ds:itemID="{2E070BBF-6D41-4C9D-BBCE-49D0BB6AF397}">
  <ds:schemaRefs/>
</ds:datastoreItem>
</file>

<file path=customXml/itemProps3.xml><?xml version="1.0" encoding="utf-8"?>
<ds:datastoreItem xmlns:ds="http://schemas.openxmlformats.org/officeDocument/2006/customXml" ds:itemID="{389B3B5F-56F7-46FA-A761-31B0B2D620D3}">
  <ds:schemaRefs/>
</ds:datastoreItem>
</file>

<file path=customXml/itemProps4.xml><?xml version="1.0" encoding="utf-8"?>
<ds:datastoreItem xmlns:ds="http://schemas.openxmlformats.org/officeDocument/2006/customXml" ds:itemID="{718392C1-8BDA-4BEB-A5B1-CC7CBC0A0715}">
  <ds:schemaRefs/>
</ds:datastoreItem>
</file>

<file path=customXml/itemProps5.xml><?xml version="1.0" encoding="utf-8"?>
<ds:datastoreItem xmlns:ds="http://schemas.openxmlformats.org/officeDocument/2006/customXml" ds:itemID="{F0D9E508-C215-483B-834D-ADDF1D167008}">
  <ds:schemaRefs/>
</ds:datastoreItem>
</file>

<file path=customXml/itemProps6.xml><?xml version="1.0" encoding="utf-8"?>
<ds:datastoreItem xmlns:ds="http://schemas.openxmlformats.org/officeDocument/2006/customXml" ds:itemID="{F4419804-D443-4FFE-9FD5-1813AD529F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MedicalAnalysis</vt:lpstr>
      <vt:lpstr>Dashboard</vt:lpstr>
      <vt:lpstr>insurance (4)0---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Rohit Gupta</dc:creator>
  <cp:lastModifiedBy>Rohit Gupta</cp:lastModifiedBy>
  <dcterms:created xsi:type="dcterms:W3CDTF">2026-02-05T15:12:22Z</dcterms:created>
  <dcterms:modified xsi:type="dcterms:W3CDTF">2026-02-21T12:49:20Z</dcterms:modified>
</cp:coreProperties>
</file>